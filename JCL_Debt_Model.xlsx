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JSL Intership - Paras sir\Sanction Letters\"/>
    </mc:Choice>
  </mc:AlternateContent>
  <xr:revisionPtr revIDLastSave="0" documentId="13_ncr:1_{E532AABC-C1D5-4581-880B-F45B465BF77B}" xr6:coauthVersionLast="47" xr6:coauthVersionMax="47" xr10:uidLastSave="{00000000-0000-0000-0000-000000000000}"/>
  <bookViews>
    <workbookView xWindow="-108" yWindow="-108" windowWidth="23256" windowHeight="12456" tabRatio="500" firstSheet="3" activeTab="4" xr2:uid="{00000000-000D-0000-FFFF-FFFF00000000}"/>
  </bookViews>
  <sheets>
    <sheet name="Cover Page" sheetId="2" r:id="rId1"/>
    <sheet name="Data Validation &amp; Checks" sheetId="18" r:id="rId2"/>
    <sheet name="Dashboard" sheetId="17" r:id="rId3"/>
    <sheet name="Scenario Analysis" sheetId="16" r:id="rId4"/>
    <sheet name="Instructions &amp; Assumptions" sheetId="3" r:id="rId5"/>
    <sheet name="Debt Pricing Table" sheetId="4" r:id="rId6"/>
    <sheet name="Facility Master" sheetId="5" r:id="rId7"/>
    <sheet name="Lender Summary" sheetId="6" r:id="rId8"/>
    <sheet name="Working Capital Facilities" sheetId="7" r:id="rId9"/>
    <sheet name="Term Loans" sheetId="8" r:id="rId10"/>
    <sheet name="Non-Fund Based Facilities" sheetId="9" r:id="rId11"/>
    <sheet name="Repayment Schedule" sheetId="10" r:id="rId12"/>
    <sheet name="Interest Schedule" sheetId="11" r:id="rId13"/>
    <sheet name="Covenant Tracker" sheetId="12" r:id="rId14"/>
    <sheet name="Security &amp; Charge Matrix" sheetId="13" r:id="rId15"/>
    <sheet name="Utilization Tracker" sheetId="14" r:id="rId16"/>
    <sheet name="Renewal &amp; Review Calendar" sheetId="15" r:id="rId17"/>
    <sheet name="Notes" sheetId="19" r:id="rId18"/>
  </sheets>
  <definedNames>
    <definedName name="AsOfDate">'Instructions &amp; Assumptions'!$C$6</definedName>
    <definedName name="BMK_12M_MCLR_SIB">'Instructions &amp; Assumptions'!$C$18</definedName>
    <definedName name="BMK_1Y_MCLR_RBL">'Instructions &amp; Assumptions'!$C$15</definedName>
    <definedName name="BMK_3M_MCLR_YBL">'Instructions &amp; Assumptions'!$C$16</definedName>
    <definedName name="BMK_3M_TBILL">'Instructions &amp; Assumptions'!$C$13</definedName>
    <definedName name="BMK_6M_IMCLR_ICICI">'Instructions &amp; Assumptions'!$C$17</definedName>
    <definedName name="BMK_BFRR">'Instructions &amp; Assumptions'!$C$19</definedName>
    <definedName name="BMK_FD_RATE">'Instructions &amp; Assumptions'!$C$21</definedName>
    <definedName name="BMK_REPO">'Instructions &amp; Assumptions'!$C$14</definedName>
    <definedName name="BMK_TERM_SOFR">'Instructions &amp; Assumptions'!$C$20</definedName>
    <definedName name="CONS_DATES">'Repayment Schedule'!$C$193:$C$245</definedName>
    <definedName name="CONS_DS">'Repayment Schedule'!$G$193:$G$245</definedName>
    <definedName name="CONS_INTEREST">'Repayment Schedule'!$F$193:$F$245</definedName>
    <definedName name="CONS_PRINCIPAL">'Repayment Schedule'!$E$193:$E$245</definedName>
    <definedName name="CONS_SCHEDULE_START_ROW">'Repayment Schedule'!$B$193</definedName>
    <definedName name="DaysInYear">'Instructions &amp; Assumptions'!$C$9</definedName>
    <definedName name="FIN_ATNW">'Instructions &amp; Assumptions'!$C$29</definedName>
    <definedName name="FIN_CA">'Instructions &amp; Assumptions'!$C$30</definedName>
    <definedName name="FIN_CL">'Instructions &amp; Assumptions'!$C$31</definedName>
    <definedName name="FIN_EBITDA">'Instructions &amp; Assumptions'!$C$25</definedName>
    <definedName name="FIN_FA_NET">'Instructions &amp; Assumptions'!$C$34</definedName>
    <definedName name="FIN_INT_EXP">'Instructions &amp; Assumptions'!$C$33</definedName>
    <definedName name="FIN_PRINC_REP">'Instructions &amp; Assumptions'!$C$38</definedName>
    <definedName name="FIN_PROM_SHARE">'Instructions &amp; Assumptions'!$C$37</definedName>
    <definedName name="FIN_RATING">'Instructions &amp; Assumptions'!$C$36</definedName>
    <definedName name="FIN_SCHED_REPAY">'Instructions &amp; Assumptions'!$C$40</definedName>
    <definedName name="FIN_SEC_DEBT">'Instructions &amp; Assumptions'!$C$35</definedName>
    <definedName name="FIN_TAX_PAID">'Instructions &amp; Assumptions'!$C$39</definedName>
    <definedName name="FIN_TERM_DEBT">'Instructions &amp; Assumptions'!$C$27</definedName>
    <definedName name="FIN_TNW">'Instructions &amp; Assumptions'!$C$28</definedName>
    <definedName name="FIN_TOL">'Instructions &amp; Assumptions'!$C$32</definedName>
    <definedName name="FIN_TOTAL_DEBT">'Instructions &amp; Assumptions'!$C$26</definedName>
    <definedName name="FinancialBasis">'Instructions &amp; Assumptions'!$C$10</definedName>
    <definedName name="FX_USD_INR">'Instructions &amp; Assumptions'!$C$7</definedName>
    <definedName name="LenderFilter">Dashboard!$H$5</definedName>
    <definedName name="TL_21_PRINC_OUTSTD">'Repayment Schedule'!$H$126</definedName>
    <definedName name="TL_21_PRINC_REPAID_TO_DATE">'Repayment Schedule'!$F$126</definedName>
    <definedName name="TL_22_PRINC_OUTSTD">'Repayment Schedule'!$H$188</definedName>
    <definedName name="TL_22_PRINC_REPAID_TO_DATE">'Repayment Schedule'!$F$188</definedName>
    <definedName name="TL_9_PRINC_OUTSTD">'Repayment Schedule'!$H$64</definedName>
    <definedName name="TL_9_PRINC_REPAID_TO_DATE">'Repayment Schedule'!$F$64</definedName>
    <definedName name="UseFullUtilisation">'Instructions &amp; Assumptions'!$C$8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28" i="5" l="1"/>
  <c r="P11" i="6"/>
  <c r="O11" i="6"/>
  <c r="D87" i="17"/>
  <c r="E87" i="17" s="1"/>
  <c r="C87" i="17"/>
  <c r="D38" i="18" l="1"/>
  <c r="D33" i="18"/>
  <c r="D20" i="18"/>
  <c r="D19" i="18"/>
  <c r="E18" i="18"/>
  <c r="F18" i="18" s="1"/>
  <c r="D18" i="18"/>
  <c r="E17" i="18"/>
  <c r="D17" i="18"/>
  <c r="E16" i="18"/>
  <c r="D16" i="18"/>
  <c r="E15" i="18"/>
  <c r="D15" i="18"/>
  <c r="F15" i="18" s="1"/>
  <c r="E14" i="18"/>
  <c r="D14" i="18"/>
  <c r="D10" i="18"/>
  <c r="D9" i="18"/>
  <c r="E6" i="18"/>
  <c r="F6" i="18" s="1"/>
  <c r="D6" i="18"/>
  <c r="D49" i="16"/>
  <c r="C49" i="16"/>
  <c r="D48" i="16"/>
  <c r="C48" i="16"/>
  <c r="D47" i="16"/>
  <c r="C47" i="16"/>
  <c r="D46" i="16"/>
  <c r="C46" i="16"/>
  <c r="D45" i="16"/>
  <c r="C45" i="16"/>
  <c r="D44" i="16"/>
  <c r="C44" i="16"/>
  <c r="D43" i="16"/>
  <c r="C43" i="16"/>
  <c r="D42" i="16"/>
  <c r="C42" i="16"/>
  <c r="J39" i="15"/>
  <c r="H39" i="15"/>
  <c r="I39" i="15" s="1"/>
  <c r="G39" i="15"/>
  <c r="F39" i="15"/>
  <c r="E39" i="15"/>
  <c r="D39" i="15"/>
  <c r="C39" i="15"/>
  <c r="J38" i="15"/>
  <c r="G38" i="15"/>
  <c r="F38" i="15"/>
  <c r="H38" i="15" s="1"/>
  <c r="I38" i="15" s="1"/>
  <c r="E38" i="15"/>
  <c r="D38" i="15"/>
  <c r="C38" i="15"/>
  <c r="J37" i="15"/>
  <c r="G37" i="15"/>
  <c r="F37" i="15"/>
  <c r="H37" i="15" s="1"/>
  <c r="I37" i="15" s="1"/>
  <c r="E37" i="15"/>
  <c r="D37" i="15"/>
  <c r="C37" i="15"/>
  <c r="J36" i="15"/>
  <c r="H36" i="15"/>
  <c r="I36" i="15" s="1"/>
  <c r="G36" i="15"/>
  <c r="F36" i="15"/>
  <c r="E36" i="15"/>
  <c r="D36" i="15"/>
  <c r="C36" i="15"/>
  <c r="J35" i="15"/>
  <c r="G35" i="15"/>
  <c r="F35" i="15"/>
  <c r="H35" i="15" s="1"/>
  <c r="I35" i="15" s="1"/>
  <c r="E35" i="15"/>
  <c r="D35" i="15"/>
  <c r="C35" i="15"/>
  <c r="J34" i="15"/>
  <c r="G34" i="15"/>
  <c r="F34" i="15"/>
  <c r="H34" i="15" s="1"/>
  <c r="I34" i="15" s="1"/>
  <c r="E34" i="15"/>
  <c r="D34" i="15"/>
  <c r="C34" i="15"/>
  <c r="J33" i="15"/>
  <c r="H33" i="15"/>
  <c r="I33" i="15" s="1"/>
  <c r="G33" i="15"/>
  <c r="F33" i="15"/>
  <c r="E33" i="15"/>
  <c r="D33" i="15"/>
  <c r="C33" i="15"/>
  <c r="J32" i="15"/>
  <c r="G32" i="15"/>
  <c r="F32" i="15"/>
  <c r="H32" i="15" s="1"/>
  <c r="I32" i="15" s="1"/>
  <c r="E32" i="15"/>
  <c r="D32" i="15"/>
  <c r="C32" i="15"/>
  <c r="J31" i="15"/>
  <c r="G31" i="15"/>
  <c r="F31" i="15"/>
  <c r="H31" i="15" s="1"/>
  <c r="I31" i="15" s="1"/>
  <c r="E31" i="15"/>
  <c r="D31" i="15"/>
  <c r="C31" i="15"/>
  <c r="J30" i="15"/>
  <c r="G30" i="15"/>
  <c r="F30" i="15"/>
  <c r="H30" i="15" s="1"/>
  <c r="I30" i="15" s="1"/>
  <c r="E30" i="15"/>
  <c r="D30" i="15"/>
  <c r="C30" i="15"/>
  <c r="J29" i="15"/>
  <c r="G29" i="15"/>
  <c r="F29" i="15"/>
  <c r="H29" i="15" s="1"/>
  <c r="I29" i="15" s="1"/>
  <c r="E29" i="15"/>
  <c r="D29" i="15"/>
  <c r="C29" i="15"/>
  <c r="J28" i="15"/>
  <c r="G28" i="15"/>
  <c r="F28" i="15"/>
  <c r="H28" i="15" s="1"/>
  <c r="I28" i="15" s="1"/>
  <c r="E28" i="15"/>
  <c r="D28" i="15"/>
  <c r="C28" i="15"/>
  <c r="J27" i="15"/>
  <c r="H27" i="15"/>
  <c r="I27" i="15" s="1"/>
  <c r="F27" i="15"/>
  <c r="E27" i="15"/>
  <c r="D27" i="15"/>
  <c r="C27" i="15"/>
  <c r="J26" i="15"/>
  <c r="G26" i="15"/>
  <c r="F26" i="15"/>
  <c r="H26" i="15" s="1"/>
  <c r="I26" i="15" s="1"/>
  <c r="E26" i="15"/>
  <c r="D26" i="15"/>
  <c r="C26" i="15"/>
  <c r="J25" i="15"/>
  <c r="G25" i="15"/>
  <c r="F25" i="15"/>
  <c r="H25" i="15" s="1"/>
  <c r="I25" i="15" s="1"/>
  <c r="E25" i="15"/>
  <c r="D25" i="15"/>
  <c r="C25" i="15"/>
  <c r="J24" i="15"/>
  <c r="G24" i="15"/>
  <c r="F24" i="15"/>
  <c r="H24" i="15" s="1"/>
  <c r="I24" i="15" s="1"/>
  <c r="E24" i="15"/>
  <c r="D24" i="15"/>
  <c r="C24" i="15"/>
  <c r="J23" i="15"/>
  <c r="G23" i="15"/>
  <c r="F23" i="15"/>
  <c r="H23" i="15" s="1"/>
  <c r="I23" i="15" s="1"/>
  <c r="E23" i="15"/>
  <c r="D23" i="15"/>
  <c r="C23" i="15"/>
  <c r="J22" i="15"/>
  <c r="G22" i="15"/>
  <c r="F22" i="15"/>
  <c r="H22" i="15" s="1"/>
  <c r="I22" i="15" s="1"/>
  <c r="E22" i="15"/>
  <c r="D22" i="15"/>
  <c r="C22" i="15"/>
  <c r="J21" i="15"/>
  <c r="H21" i="15"/>
  <c r="I21" i="15" s="1"/>
  <c r="G21" i="15"/>
  <c r="F21" i="15"/>
  <c r="E21" i="15"/>
  <c r="D21" i="15"/>
  <c r="C21" i="15"/>
  <c r="J20" i="15"/>
  <c r="G20" i="15"/>
  <c r="F20" i="15"/>
  <c r="H20" i="15" s="1"/>
  <c r="I20" i="15" s="1"/>
  <c r="E20" i="15"/>
  <c r="D20" i="15"/>
  <c r="C20" i="15"/>
  <c r="J19" i="15"/>
  <c r="G19" i="15"/>
  <c r="F19" i="15"/>
  <c r="H19" i="15" s="1"/>
  <c r="I19" i="15" s="1"/>
  <c r="E19" i="15"/>
  <c r="D19" i="15"/>
  <c r="C19" i="15"/>
  <c r="J18" i="15"/>
  <c r="H18" i="15"/>
  <c r="I18" i="15" s="1"/>
  <c r="G18" i="15"/>
  <c r="F18" i="15"/>
  <c r="E18" i="15"/>
  <c r="D18" i="15"/>
  <c r="C18" i="15"/>
  <c r="J17" i="15"/>
  <c r="G17" i="15"/>
  <c r="F17" i="15"/>
  <c r="H17" i="15" s="1"/>
  <c r="I17" i="15" s="1"/>
  <c r="E17" i="15"/>
  <c r="D17" i="15"/>
  <c r="C17" i="15"/>
  <c r="J16" i="15"/>
  <c r="G16" i="15"/>
  <c r="F16" i="15"/>
  <c r="H16" i="15" s="1"/>
  <c r="I16" i="15" s="1"/>
  <c r="E16" i="15"/>
  <c r="D16" i="15"/>
  <c r="C16" i="15"/>
  <c r="J15" i="15"/>
  <c r="H15" i="15"/>
  <c r="I15" i="15" s="1"/>
  <c r="G15" i="15"/>
  <c r="F15" i="15"/>
  <c r="E15" i="15"/>
  <c r="D15" i="15"/>
  <c r="C15" i="15"/>
  <c r="J14" i="15"/>
  <c r="F14" i="15"/>
  <c r="H14" i="15" s="1"/>
  <c r="I14" i="15" s="1"/>
  <c r="E14" i="15"/>
  <c r="D14" i="15"/>
  <c r="C14" i="15"/>
  <c r="J13" i="15"/>
  <c r="G13" i="15"/>
  <c r="F13" i="15"/>
  <c r="H13" i="15" s="1"/>
  <c r="I13" i="15" s="1"/>
  <c r="E13" i="15"/>
  <c r="D13" i="15"/>
  <c r="C13" i="15"/>
  <c r="J12" i="15"/>
  <c r="H12" i="15"/>
  <c r="I12" i="15" s="1"/>
  <c r="G12" i="15"/>
  <c r="F12" i="15"/>
  <c r="E12" i="15"/>
  <c r="D12" i="15"/>
  <c r="C12" i="15"/>
  <c r="J11" i="15"/>
  <c r="G11" i="15"/>
  <c r="F11" i="15"/>
  <c r="H11" i="15" s="1"/>
  <c r="I11" i="15" s="1"/>
  <c r="E11" i="15"/>
  <c r="D11" i="15"/>
  <c r="C11" i="15"/>
  <c r="J10" i="15"/>
  <c r="G10" i="15"/>
  <c r="F10" i="15"/>
  <c r="H10" i="15" s="1"/>
  <c r="I10" i="15" s="1"/>
  <c r="E10" i="15"/>
  <c r="D10" i="15"/>
  <c r="C10" i="15"/>
  <c r="J9" i="15"/>
  <c r="G9" i="15"/>
  <c r="F9" i="15"/>
  <c r="H9" i="15" s="1"/>
  <c r="I9" i="15" s="1"/>
  <c r="E9" i="15"/>
  <c r="D9" i="15"/>
  <c r="C9" i="15"/>
  <c r="J8" i="15"/>
  <c r="G8" i="15"/>
  <c r="F8" i="15"/>
  <c r="H8" i="15" s="1"/>
  <c r="I8" i="15" s="1"/>
  <c r="E8" i="15"/>
  <c r="D8" i="15"/>
  <c r="C8" i="15"/>
  <c r="J7" i="15"/>
  <c r="G7" i="15"/>
  <c r="F7" i="15"/>
  <c r="H7" i="15" s="1"/>
  <c r="I7" i="15" s="1"/>
  <c r="E7" i="15"/>
  <c r="D7" i="15"/>
  <c r="C7" i="15"/>
  <c r="J6" i="15"/>
  <c r="H6" i="15"/>
  <c r="I6" i="15" s="1"/>
  <c r="G6" i="15"/>
  <c r="F6" i="15"/>
  <c r="E6" i="15"/>
  <c r="D6" i="15"/>
  <c r="C6" i="15"/>
  <c r="K39" i="14"/>
  <c r="E39" i="14"/>
  <c r="D39" i="14"/>
  <c r="C39" i="14"/>
  <c r="K38" i="14"/>
  <c r="E38" i="14"/>
  <c r="D38" i="14"/>
  <c r="C38" i="14"/>
  <c r="K37" i="14"/>
  <c r="E37" i="14"/>
  <c r="D37" i="14"/>
  <c r="C37" i="14"/>
  <c r="K36" i="14"/>
  <c r="E36" i="14"/>
  <c r="D36" i="14"/>
  <c r="C36" i="14"/>
  <c r="K35" i="14"/>
  <c r="E35" i="14"/>
  <c r="D35" i="14"/>
  <c r="C35" i="14"/>
  <c r="K34" i="14"/>
  <c r="E34" i="14"/>
  <c r="D34" i="14"/>
  <c r="C34" i="14"/>
  <c r="K33" i="14"/>
  <c r="E33" i="14"/>
  <c r="D33" i="14"/>
  <c r="C33" i="14"/>
  <c r="K32" i="14"/>
  <c r="E32" i="14"/>
  <c r="D32" i="14"/>
  <c r="C32" i="14"/>
  <c r="K31" i="14"/>
  <c r="E31" i="14"/>
  <c r="D31" i="14"/>
  <c r="C31" i="14"/>
  <c r="K30" i="14"/>
  <c r="E30" i="14"/>
  <c r="D30" i="14"/>
  <c r="C30" i="14"/>
  <c r="K29" i="14"/>
  <c r="E29" i="14"/>
  <c r="D29" i="14"/>
  <c r="C29" i="14"/>
  <c r="K28" i="14"/>
  <c r="E28" i="14"/>
  <c r="D28" i="14"/>
  <c r="C28" i="14"/>
  <c r="K27" i="14"/>
  <c r="E27" i="14"/>
  <c r="D27" i="14"/>
  <c r="C27" i="14"/>
  <c r="K26" i="14"/>
  <c r="E26" i="14"/>
  <c r="D26" i="14"/>
  <c r="C26" i="14"/>
  <c r="K25" i="14"/>
  <c r="E25" i="14"/>
  <c r="D25" i="14"/>
  <c r="C25" i="14"/>
  <c r="K24" i="14"/>
  <c r="E24" i="14"/>
  <c r="D24" i="14"/>
  <c r="C24" i="14"/>
  <c r="K23" i="14"/>
  <c r="E23" i="14"/>
  <c r="D23" i="14"/>
  <c r="C23" i="14"/>
  <c r="K22" i="14"/>
  <c r="E22" i="14"/>
  <c r="D22" i="14"/>
  <c r="C22" i="14"/>
  <c r="K21" i="14"/>
  <c r="E21" i="14"/>
  <c r="D21" i="14"/>
  <c r="C21" i="14"/>
  <c r="K20" i="14"/>
  <c r="E20" i="14"/>
  <c r="D20" i="14"/>
  <c r="C20" i="14"/>
  <c r="K19" i="14"/>
  <c r="E19" i="14"/>
  <c r="D19" i="14"/>
  <c r="C19" i="14"/>
  <c r="K18" i="14"/>
  <c r="E18" i="14"/>
  <c r="D18" i="14"/>
  <c r="C18" i="14"/>
  <c r="K17" i="14"/>
  <c r="E17" i="14"/>
  <c r="D17" i="14"/>
  <c r="C17" i="14"/>
  <c r="K16" i="14"/>
  <c r="E16" i="14"/>
  <c r="D16" i="14"/>
  <c r="C16" i="14"/>
  <c r="K15" i="14"/>
  <c r="E15" i="14"/>
  <c r="D15" i="14"/>
  <c r="C15" i="14"/>
  <c r="K14" i="14"/>
  <c r="E14" i="14"/>
  <c r="D14" i="14"/>
  <c r="C14" i="14"/>
  <c r="K13" i="14"/>
  <c r="E13" i="14"/>
  <c r="D13" i="14"/>
  <c r="C13" i="14"/>
  <c r="K12" i="14"/>
  <c r="E12" i="14"/>
  <c r="D12" i="14"/>
  <c r="C12" i="14"/>
  <c r="K11" i="14"/>
  <c r="E11" i="14"/>
  <c r="D11" i="14"/>
  <c r="C11" i="14"/>
  <c r="K10" i="14"/>
  <c r="E10" i="14"/>
  <c r="D10" i="14"/>
  <c r="C10" i="14"/>
  <c r="K9" i="14"/>
  <c r="E9" i="14"/>
  <c r="D9" i="14"/>
  <c r="C9" i="14"/>
  <c r="K8" i="14"/>
  <c r="E8" i="14"/>
  <c r="D8" i="14"/>
  <c r="C8" i="14"/>
  <c r="K7" i="14"/>
  <c r="E7" i="14"/>
  <c r="D7" i="14"/>
  <c r="C7" i="14"/>
  <c r="K6" i="14"/>
  <c r="E6" i="14"/>
  <c r="D6" i="14"/>
  <c r="C6" i="14"/>
  <c r="G33" i="12"/>
  <c r="M39" i="11"/>
  <c r="L39" i="11"/>
  <c r="K39" i="11"/>
  <c r="H39" i="11"/>
  <c r="E39" i="11"/>
  <c r="D39" i="11"/>
  <c r="C39" i="11"/>
  <c r="M38" i="11"/>
  <c r="L38" i="11"/>
  <c r="K38" i="11"/>
  <c r="H38" i="11"/>
  <c r="E38" i="11"/>
  <c r="D38" i="11"/>
  <c r="C38" i="11"/>
  <c r="M37" i="11"/>
  <c r="L37" i="11"/>
  <c r="K37" i="11"/>
  <c r="H37" i="11"/>
  <c r="E37" i="11"/>
  <c r="D37" i="11"/>
  <c r="C37" i="11"/>
  <c r="M36" i="11"/>
  <c r="L36" i="11"/>
  <c r="K36" i="11"/>
  <c r="H36" i="11"/>
  <c r="E36" i="11"/>
  <c r="D36" i="11"/>
  <c r="C36" i="11"/>
  <c r="M35" i="11"/>
  <c r="L35" i="11"/>
  <c r="K35" i="11"/>
  <c r="H35" i="11"/>
  <c r="E35" i="11"/>
  <c r="D35" i="11"/>
  <c r="C35" i="11"/>
  <c r="M34" i="11"/>
  <c r="L34" i="11"/>
  <c r="K34" i="11"/>
  <c r="E34" i="11"/>
  <c r="D34" i="11"/>
  <c r="C34" i="11"/>
  <c r="M33" i="11"/>
  <c r="L33" i="11"/>
  <c r="K33" i="11"/>
  <c r="H33" i="11"/>
  <c r="E33" i="11"/>
  <c r="D33" i="11"/>
  <c r="C33" i="11"/>
  <c r="M32" i="11"/>
  <c r="L32" i="11"/>
  <c r="K32" i="11"/>
  <c r="H32" i="11"/>
  <c r="E32" i="11"/>
  <c r="D32" i="11"/>
  <c r="C32" i="11"/>
  <c r="M31" i="11"/>
  <c r="L31" i="11"/>
  <c r="K31" i="11"/>
  <c r="H31" i="11"/>
  <c r="E31" i="11"/>
  <c r="D31" i="11"/>
  <c r="C31" i="11"/>
  <c r="M30" i="11"/>
  <c r="L30" i="11"/>
  <c r="K30" i="11"/>
  <c r="H30" i="11"/>
  <c r="E30" i="11"/>
  <c r="D30" i="11"/>
  <c r="C30" i="11"/>
  <c r="M29" i="11"/>
  <c r="L29" i="11"/>
  <c r="K29" i="11"/>
  <c r="E29" i="11"/>
  <c r="D29" i="11"/>
  <c r="C29" i="11"/>
  <c r="M28" i="11"/>
  <c r="L28" i="11"/>
  <c r="K28" i="11"/>
  <c r="E28" i="11"/>
  <c r="D28" i="11"/>
  <c r="C28" i="11"/>
  <c r="M27" i="11"/>
  <c r="L27" i="11"/>
  <c r="K27" i="11"/>
  <c r="E27" i="11"/>
  <c r="D27" i="11"/>
  <c r="C27" i="11"/>
  <c r="M26" i="11"/>
  <c r="L26" i="11"/>
  <c r="K26" i="11"/>
  <c r="E26" i="11"/>
  <c r="D26" i="11"/>
  <c r="C26" i="11"/>
  <c r="M25" i="11"/>
  <c r="L25" i="11"/>
  <c r="K25" i="11"/>
  <c r="H25" i="11"/>
  <c r="E25" i="11"/>
  <c r="D25" i="11"/>
  <c r="C25" i="11"/>
  <c r="M24" i="11"/>
  <c r="L24" i="11"/>
  <c r="K24" i="11"/>
  <c r="H24" i="11"/>
  <c r="E24" i="11"/>
  <c r="D24" i="11"/>
  <c r="C24" i="11"/>
  <c r="M23" i="11"/>
  <c r="L23" i="11"/>
  <c r="K23" i="11"/>
  <c r="H23" i="11"/>
  <c r="E23" i="11"/>
  <c r="D23" i="11"/>
  <c r="C23" i="11"/>
  <c r="M22" i="11"/>
  <c r="L22" i="11"/>
  <c r="K22" i="11"/>
  <c r="E22" i="11"/>
  <c r="D22" i="11"/>
  <c r="C22" i="11"/>
  <c r="M21" i="11"/>
  <c r="L21" i="11"/>
  <c r="K21" i="11"/>
  <c r="H21" i="11"/>
  <c r="E21" i="11"/>
  <c r="D21" i="11"/>
  <c r="C21" i="11"/>
  <c r="M20" i="11"/>
  <c r="L20" i="11"/>
  <c r="K20" i="11"/>
  <c r="H20" i="11"/>
  <c r="E20" i="11"/>
  <c r="D20" i="11"/>
  <c r="C20" i="11"/>
  <c r="M19" i="11"/>
  <c r="L19" i="11"/>
  <c r="K19" i="11"/>
  <c r="H19" i="11"/>
  <c r="E19" i="11"/>
  <c r="D19" i="11"/>
  <c r="C19" i="11"/>
  <c r="M18" i="11"/>
  <c r="L18" i="11"/>
  <c r="K18" i="11"/>
  <c r="H18" i="11"/>
  <c r="E18" i="11"/>
  <c r="D18" i="11"/>
  <c r="C18" i="11"/>
  <c r="M17" i="11"/>
  <c r="L17" i="11"/>
  <c r="K17" i="11"/>
  <c r="H17" i="11"/>
  <c r="E17" i="11"/>
  <c r="D17" i="11"/>
  <c r="C17" i="11"/>
  <c r="M16" i="11"/>
  <c r="L16" i="11"/>
  <c r="K16" i="11"/>
  <c r="H16" i="11"/>
  <c r="E16" i="11"/>
  <c r="D16" i="11"/>
  <c r="C16" i="11"/>
  <c r="M15" i="11"/>
  <c r="L15" i="11"/>
  <c r="K15" i="11"/>
  <c r="H15" i="11"/>
  <c r="E15" i="11"/>
  <c r="D15" i="11"/>
  <c r="C15" i="11"/>
  <c r="M14" i="11"/>
  <c r="L14" i="11"/>
  <c r="K14" i="11"/>
  <c r="E14" i="11"/>
  <c r="D14" i="11"/>
  <c r="C14" i="11"/>
  <c r="M13" i="11"/>
  <c r="L13" i="11"/>
  <c r="K13" i="11"/>
  <c r="H13" i="11"/>
  <c r="E13" i="11"/>
  <c r="D13" i="11"/>
  <c r="C13" i="11"/>
  <c r="M12" i="11"/>
  <c r="L12" i="11"/>
  <c r="K12" i="11"/>
  <c r="H12" i="11"/>
  <c r="E12" i="11"/>
  <c r="D12" i="11"/>
  <c r="C12" i="11"/>
  <c r="M11" i="11"/>
  <c r="L11" i="11"/>
  <c r="K11" i="11"/>
  <c r="E11" i="11"/>
  <c r="D11" i="11"/>
  <c r="C11" i="11"/>
  <c r="M10" i="11"/>
  <c r="L10" i="11"/>
  <c r="K10" i="11"/>
  <c r="H10" i="11"/>
  <c r="E10" i="11"/>
  <c r="D10" i="11"/>
  <c r="C10" i="11"/>
  <c r="M9" i="11"/>
  <c r="L9" i="11"/>
  <c r="K9" i="11"/>
  <c r="H9" i="11"/>
  <c r="E9" i="11"/>
  <c r="D9" i="11"/>
  <c r="C9" i="11"/>
  <c r="M8" i="11"/>
  <c r="L8" i="11"/>
  <c r="K8" i="11"/>
  <c r="H8" i="11"/>
  <c r="E8" i="11"/>
  <c r="D8" i="11"/>
  <c r="C8" i="11"/>
  <c r="M7" i="11"/>
  <c r="L7" i="11"/>
  <c r="K7" i="11"/>
  <c r="H7" i="11"/>
  <c r="E7" i="11"/>
  <c r="D7" i="11"/>
  <c r="C7" i="11"/>
  <c r="M6" i="11"/>
  <c r="L6" i="11"/>
  <c r="K6" i="11"/>
  <c r="H6" i="11"/>
  <c r="E6" i="11"/>
  <c r="D6" i="11"/>
  <c r="C6" i="11"/>
  <c r="J186" i="10"/>
  <c r="F186" i="10"/>
  <c r="J185" i="10"/>
  <c r="F185" i="10"/>
  <c r="J184" i="10"/>
  <c r="F184" i="10"/>
  <c r="J183" i="10"/>
  <c r="F183" i="10"/>
  <c r="J182" i="10"/>
  <c r="F182" i="10"/>
  <c r="J181" i="10"/>
  <c r="F181" i="10"/>
  <c r="J180" i="10"/>
  <c r="F180" i="10"/>
  <c r="J179" i="10"/>
  <c r="F179" i="10"/>
  <c r="J178" i="10"/>
  <c r="F178" i="10"/>
  <c r="J177" i="10"/>
  <c r="F177" i="10"/>
  <c r="J176" i="10"/>
  <c r="F176" i="10"/>
  <c r="J175" i="10"/>
  <c r="F175" i="10"/>
  <c r="J174" i="10"/>
  <c r="F174" i="10"/>
  <c r="J173" i="10"/>
  <c r="F173" i="10"/>
  <c r="J172" i="10"/>
  <c r="F172" i="10"/>
  <c r="J171" i="10"/>
  <c r="F171" i="10"/>
  <c r="J170" i="10"/>
  <c r="F170" i="10"/>
  <c r="J169" i="10"/>
  <c r="F169" i="10"/>
  <c r="J168" i="10"/>
  <c r="F168" i="10"/>
  <c r="J167" i="10"/>
  <c r="F167" i="10"/>
  <c r="J166" i="10"/>
  <c r="F166" i="10"/>
  <c r="J165" i="10"/>
  <c r="F165" i="10"/>
  <c r="J164" i="10"/>
  <c r="F164" i="10"/>
  <c r="J163" i="10"/>
  <c r="F163" i="10"/>
  <c r="J162" i="10"/>
  <c r="F162" i="10"/>
  <c r="J161" i="10"/>
  <c r="F161" i="10"/>
  <c r="J160" i="10"/>
  <c r="F160" i="10"/>
  <c r="J159" i="10"/>
  <c r="F159" i="10"/>
  <c r="J158" i="10"/>
  <c r="F158" i="10"/>
  <c r="J157" i="10"/>
  <c r="F157" i="10"/>
  <c r="J156" i="10"/>
  <c r="F156" i="10"/>
  <c r="J155" i="10"/>
  <c r="F155" i="10"/>
  <c r="J154" i="10"/>
  <c r="F154" i="10"/>
  <c r="J153" i="10"/>
  <c r="F153" i="10"/>
  <c r="J152" i="10"/>
  <c r="F152" i="10"/>
  <c r="J151" i="10"/>
  <c r="F151" i="10"/>
  <c r="J150" i="10"/>
  <c r="F150" i="10"/>
  <c r="J149" i="10"/>
  <c r="F149" i="10"/>
  <c r="J148" i="10"/>
  <c r="F148" i="10"/>
  <c r="J147" i="10"/>
  <c r="F147" i="10"/>
  <c r="J146" i="10"/>
  <c r="F146" i="10"/>
  <c r="J145" i="10"/>
  <c r="F145" i="10"/>
  <c r="J144" i="10"/>
  <c r="F144" i="10"/>
  <c r="J143" i="10"/>
  <c r="F143" i="10"/>
  <c r="J142" i="10"/>
  <c r="F142" i="10"/>
  <c r="J141" i="10"/>
  <c r="F141" i="10"/>
  <c r="J140" i="10"/>
  <c r="J139" i="10"/>
  <c r="F139" i="10"/>
  <c r="J138" i="10"/>
  <c r="F138" i="10"/>
  <c r="J137" i="10"/>
  <c r="F137" i="10"/>
  <c r="J136" i="10"/>
  <c r="F136" i="10"/>
  <c r="J135" i="10"/>
  <c r="F135" i="10"/>
  <c r="J134" i="10"/>
  <c r="F134" i="10"/>
  <c r="G131" i="10"/>
  <c r="D131" i="10"/>
  <c r="C131" i="10"/>
  <c r="J124" i="10"/>
  <c r="G124" i="10"/>
  <c r="F124" i="10"/>
  <c r="J123" i="10"/>
  <c r="G123" i="10"/>
  <c r="F123" i="10"/>
  <c r="J122" i="10"/>
  <c r="F122" i="10"/>
  <c r="J121" i="10"/>
  <c r="F121" i="10"/>
  <c r="J120" i="10"/>
  <c r="F120" i="10"/>
  <c r="J119" i="10"/>
  <c r="F119" i="10"/>
  <c r="J118" i="10"/>
  <c r="F118" i="10"/>
  <c r="J117" i="10"/>
  <c r="F117" i="10"/>
  <c r="J116" i="10"/>
  <c r="F116" i="10"/>
  <c r="J115" i="10"/>
  <c r="F115" i="10"/>
  <c r="J114" i="10"/>
  <c r="F114" i="10"/>
  <c r="J113" i="10"/>
  <c r="F113" i="10"/>
  <c r="J112" i="10"/>
  <c r="F112" i="10"/>
  <c r="J111" i="10"/>
  <c r="F111" i="10"/>
  <c r="J110" i="10"/>
  <c r="F110" i="10"/>
  <c r="J109" i="10"/>
  <c r="F109" i="10"/>
  <c r="J108" i="10"/>
  <c r="F108" i="10"/>
  <c r="J107" i="10"/>
  <c r="F107" i="10"/>
  <c r="J106" i="10"/>
  <c r="F106" i="10"/>
  <c r="J105" i="10"/>
  <c r="F105" i="10"/>
  <c r="J104" i="10"/>
  <c r="F104" i="10"/>
  <c r="J103" i="10"/>
  <c r="F103" i="10"/>
  <c r="J102" i="10"/>
  <c r="F102" i="10"/>
  <c r="J101" i="10"/>
  <c r="F101" i="10"/>
  <c r="J100" i="10"/>
  <c r="F100" i="10"/>
  <c r="J99" i="10"/>
  <c r="F99" i="10"/>
  <c r="J98" i="10"/>
  <c r="F98" i="10"/>
  <c r="J97" i="10"/>
  <c r="F97" i="10"/>
  <c r="J96" i="10"/>
  <c r="F96" i="10"/>
  <c r="J95" i="10"/>
  <c r="F95" i="10"/>
  <c r="J94" i="10"/>
  <c r="F94" i="10"/>
  <c r="J93" i="10"/>
  <c r="F93" i="10"/>
  <c r="J92" i="10"/>
  <c r="F92" i="10"/>
  <c r="J91" i="10"/>
  <c r="F91" i="10"/>
  <c r="J90" i="10"/>
  <c r="F90" i="10"/>
  <c r="J89" i="10"/>
  <c r="F89" i="10"/>
  <c r="J88" i="10"/>
  <c r="F88" i="10"/>
  <c r="J87" i="10"/>
  <c r="F87" i="10"/>
  <c r="J86" i="10"/>
  <c r="F86" i="10"/>
  <c r="J85" i="10"/>
  <c r="F85" i="10"/>
  <c r="J84" i="10"/>
  <c r="F84" i="10"/>
  <c r="J83" i="10"/>
  <c r="F83" i="10"/>
  <c r="J82" i="10"/>
  <c r="F82" i="10"/>
  <c r="J81" i="10"/>
  <c r="F81" i="10"/>
  <c r="J80" i="10"/>
  <c r="F80" i="10"/>
  <c r="J79" i="10"/>
  <c r="F79" i="10"/>
  <c r="J78" i="10"/>
  <c r="F78" i="10"/>
  <c r="J77" i="10"/>
  <c r="F77" i="10"/>
  <c r="J76" i="10"/>
  <c r="F76" i="10"/>
  <c r="J75" i="10"/>
  <c r="G75" i="10"/>
  <c r="J74" i="10"/>
  <c r="G74" i="10"/>
  <c r="F74" i="10"/>
  <c r="J73" i="10"/>
  <c r="G73" i="10"/>
  <c r="F73" i="10"/>
  <c r="G72" i="10"/>
  <c r="F72" i="10"/>
  <c r="G69" i="10"/>
  <c r="F69" i="10"/>
  <c r="E69" i="10"/>
  <c r="D69" i="10"/>
  <c r="C69" i="10"/>
  <c r="J62" i="10"/>
  <c r="F62" i="10"/>
  <c r="J61" i="10"/>
  <c r="F61" i="10"/>
  <c r="J60" i="10"/>
  <c r="F60" i="10"/>
  <c r="J59" i="10"/>
  <c r="F59" i="10"/>
  <c r="J58" i="10"/>
  <c r="F58" i="10"/>
  <c r="J57" i="10"/>
  <c r="F57" i="10"/>
  <c r="J56" i="10"/>
  <c r="F56" i="10"/>
  <c r="J55" i="10"/>
  <c r="F55" i="10"/>
  <c r="J54" i="10"/>
  <c r="F54" i="10"/>
  <c r="J53" i="10"/>
  <c r="F53" i="10"/>
  <c r="J52" i="10"/>
  <c r="F52" i="10"/>
  <c r="J51" i="10"/>
  <c r="F51" i="10"/>
  <c r="J50" i="10"/>
  <c r="F50" i="10"/>
  <c r="J49" i="10"/>
  <c r="F49" i="10"/>
  <c r="J48" i="10"/>
  <c r="F48" i="10"/>
  <c r="J47" i="10"/>
  <c r="F47" i="10"/>
  <c r="J46" i="10"/>
  <c r="F46" i="10"/>
  <c r="J45" i="10"/>
  <c r="F45" i="10"/>
  <c r="J44" i="10"/>
  <c r="F44" i="10"/>
  <c r="J43" i="10"/>
  <c r="F43" i="10"/>
  <c r="J42" i="10"/>
  <c r="F42" i="10"/>
  <c r="J41" i="10"/>
  <c r="F41" i="10"/>
  <c r="J40" i="10"/>
  <c r="F40" i="10"/>
  <c r="J39" i="10"/>
  <c r="F39" i="10"/>
  <c r="J38" i="10"/>
  <c r="F38" i="10"/>
  <c r="J37" i="10"/>
  <c r="F37" i="10"/>
  <c r="J36" i="10"/>
  <c r="F36" i="10"/>
  <c r="J35" i="10"/>
  <c r="F35" i="10"/>
  <c r="J34" i="10"/>
  <c r="F34" i="10"/>
  <c r="J33" i="10"/>
  <c r="F33" i="10"/>
  <c r="J32" i="10"/>
  <c r="F32" i="10"/>
  <c r="J31" i="10"/>
  <c r="F31" i="10"/>
  <c r="J30" i="10"/>
  <c r="F30" i="10"/>
  <c r="J29" i="10"/>
  <c r="F29" i="10"/>
  <c r="J28" i="10"/>
  <c r="F28" i="10"/>
  <c r="J27" i="10"/>
  <c r="F27" i="10"/>
  <c r="J26" i="10"/>
  <c r="F26" i="10"/>
  <c r="J25" i="10"/>
  <c r="F25" i="10"/>
  <c r="J24" i="10"/>
  <c r="F24" i="10"/>
  <c r="J23" i="10"/>
  <c r="F23" i="10"/>
  <c r="J22" i="10"/>
  <c r="F22" i="10"/>
  <c r="J21" i="10"/>
  <c r="F21" i="10"/>
  <c r="J20" i="10"/>
  <c r="F20" i="10"/>
  <c r="J19" i="10"/>
  <c r="F19" i="10"/>
  <c r="J18" i="10"/>
  <c r="F18" i="10"/>
  <c r="J17" i="10"/>
  <c r="F17" i="10"/>
  <c r="J16" i="10"/>
  <c r="F16" i="10"/>
  <c r="J15" i="10"/>
  <c r="F15" i="10"/>
  <c r="J14" i="10"/>
  <c r="F14" i="10"/>
  <c r="J13" i="10"/>
  <c r="F13" i="10"/>
  <c r="J12" i="10"/>
  <c r="F12" i="10"/>
  <c r="J11" i="10"/>
  <c r="F11" i="10"/>
  <c r="G7" i="10"/>
  <c r="D7" i="10"/>
  <c r="C7" i="10"/>
  <c r="O22" i="9"/>
  <c r="N22" i="9"/>
  <c r="L22" i="9"/>
  <c r="K22" i="9"/>
  <c r="J22" i="9"/>
  <c r="E22" i="9"/>
  <c r="D22" i="9"/>
  <c r="C22" i="9"/>
  <c r="O21" i="9"/>
  <c r="N21" i="9"/>
  <c r="L21" i="9"/>
  <c r="K21" i="9"/>
  <c r="J21" i="9"/>
  <c r="E21" i="9"/>
  <c r="D21" i="9"/>
  <c r="C21" i="9"/>
  <c r="O20" i="9"/>
  <c r="N20" i="9"/>
  <c r="L20" i="9"/>
  <c r="K20" i="9"/>
  <c r="J20" i="9"/>
  <c r="E20" i="9"/>
  <c r="D20" i="9"/>
  <c r="C20" i="9"/>
  <c r="O19" i="9"/>
  <c r="N19" i="9"/>
  <c r="L19" i="9"/>
  <c r="K19" i="9"/>
  <c r="J19" i="9"/>
  <c r="E19" i="9"/>
  <c r="D19" i="9"/>
  <c r="C19" i="9"/>
  <c r="O18" i="9"/>
  <c r="N18" i="9"/>
  <c r="L18" i="9"/>
  <c r="K18" i="9"/>
  <c r="J18" i="9"/>
  <c r="E18" i="9"/>
  <c r="D18" i="9"/>
  <c r="C18" i="9"/>
  <c r="O17" i="9"/>
  <c r="N17" i="9"/>
  <c r="L17" i="9"/>
  <c r="K17" i="9"/>
  <c r="J17" i="9"/>
  <c r="E17" i="9"/>
  <c r="D17" i="9"/>
  <c r="C17" i="9"/>
  <c r="O16" i="9"/>
  <c r="N16" i="9"/>
  <c r="L16" i="9"/>
  <c r="K16" i="9"/>
  <c r="J16" i="9"/>
  <c r="E16" i="9"/>
  <c r="D16" i="9"/>
  <c r="C16" i="9"/>
  <c r="O15" i="9"/>
  <c r="N15" i="9"/>
  <c r="L15" i="9"/>
  <c r="K15" i="9"/>
  <c r="J15" i="9"/>
  <c r="E15" i="9"/>
  <c r="D15" i="9"/>
  <c r="C15" i="9"/>
  <c r="O14" i="9"/>
  <c r="N14" i="9"/>
  <c r="L14" i="9"/>
  <c r="K14" i="9"/>
  <c r="J14" i="9"/>
  <c r="E14" i="9"/>
  <c r="D14" i="9"/>
  <c r="C14" i="9"/>
  <c r="O13" i="9"/>
  <c r="N13" i="9"/>
  <c r="L13" i="9"/>
  <c r="K13" i="9"/>
  <c r="J13" i="9"/>
  <c r="F13" i="9"/>
  <c r="M13" i="9" s="1"/>
  <c r="E13" i="9"/>
  <c r="D13" i="9"/>
  <c r="C13" i="9"/>
  <c r="O12" i="9"/>
  <c r="N12" i="9"/>
  <c r="L12" i="9"/>
  <c r="K12" i="9"/>
  <c r="J12" i="9"/>
  <c r="E12" i="9"/>
  <c r="D12" i="9"/>
  <c r="C12" i="9"/>
  <c r="O11" i="9"/>
  <c r="N11" i="9"/>
  <c r="L11" i="9"/>
  <c r="K11" i="9"/>
  <c r="J11" i="9"/>
  <c r="E11" i="9"/>
  <c r="D11" i="9"/>
  <c r="C11" i="9"/>
  <c r="O10" i="9"/>
  <c r="N10" i="9"/>
  <c r="L10" i="9"/>
  <c r="K10" i="9"/>
  <c r="J10" i="9"/>
  <c r="E10" i="9"/>
  <c r="D10" i="9"/>
  <c r="C10" i="9"/>
  <c r="O9" i="9"/>
  <c r="N9" i="9"/>
  <c r="L9" i="9"/>
  <c r="K9" i="9"/>
  <c r="J9" i="9"/>
  <c r="E9" i="9"/>
  <c r="D9" i="9"/>
  <c r="C9" i="9"/>
  <c r="O8" i="9"/>
  <c r="N8" i="9"/>
  <c r="L8" i="9"/>
  <c r="K8" i="9"/>
  <c r="J8" i="9"/>
  <c r="E8" i="9"/>
  <c r="D8" i="9"/>
  <c r="C8" i="9"/>
  <c r="O7" i="9"/>
  <c r="N7" i="9"/>
  <c r="L7" i="9"/>
  <c r="K7" i="9"/>
  <c r="J7" i="9"/>
  <c r="E7" i="9"/>
  <c r="D7" i="9"/>
  <c r="C7" i="9"/>
  <c r="O6" i="9"/>
  <c r="N6" i="9"/>
  <c r="L6" i="9"/>
  <c r="K6" i="9"/>
  <c r="J6" i="9"/>
  <c r="E6" i="9"/>
  <c r="D6" i="9"/>
  <c r="C6" i="9"/>
  <c r="M8" i="8"/>
  <c r="L8" i="8"/>
  <c r="H8" i="8"/>
  <c r="G8" i="8"/>
  <c r="D8" i="8"/>
  <c r="C8" i="8"/>
  <c r="M7" i="8"/>
  <c r="L7" i="8"/>
  <c r="J7" i="8"/>
  <c r="I7" i="8"/>
  <c r="H7" i="8"/>
  <c r="G7" i="8"/>
  <c r="D7" i="8"/>
  <c r="C7" i="8"/>
  <c r="M6" i="8"/>
  <c r="L6" i="8"/>
  <c r="H6" i="8"/>
  <c r="G6" i="8"/>
  <c r="D6" i="8"/>
  <c r="C6" i="8"/>
  <c r="P19" i="7"/>
  <c r="O19" i="7"/>
  <c r="N19" i="7"/>
  <c r="M19" i="7"/>
  <c r="L19" i="7"/>
  <c r="K19" i="7"/>
  <c r="J19" i="7"/>
  <c r="E19" i="7"/>
  <c r="D19" i="7"/>
  <c r="C19" i="7"/>
  <c r="P18" i="7"/>
  <c r="O18" i="7"/>
  <c r="N18" i="7"/>
  <c r="M18" i="7"/>
  <c r="K18" i="7"/>
  <c r="J18" i="7"/>
  <c r="E18" i="7"/>
  <c r="D18" i="7"/>
  <c r="C18" i="7"/>
  <c r="P17" i="7"/>
  <c r="O17" i="7"/>
  <c r="N17" i="7"/>
  <c r="M17" i="7"/>
  <c r="K17" i="7"/>
  <c r="J17" i="7"/>
  <c r="E17" i="7"/>
  <c r="D17" i="7"/>
  <c r="C17" i="7"/>
  <c r="P16" i="7"/>
  <c r="O16" i="7"/>
  <c r="N16" i="7"/>
  <c r="M16" i="7"/>
  <c r="K16" i="7"/>
  <c r="J16" i="7"/>
  <c r="E16" i="7"/>
  <c r="D16" i="7"/>
  <c r="C16" i="7"/>
  <c r="P15" i="7"/>
  <c r="O15" i="7"/>
  <c r="N15" i="7"/>
  <c r="M15" i="7"/>
  <c r="L15" i="7"/>
  <c r="K15" i="7"/>
  <c r="J15" i="7"/>
  <c r="E15" i="7"/>
  <c r="D15" i="7"/>
  <c r="C15" i="7"/>
  <c r="P14" i="7"/>
  <c r="O14" i="7"/>
  <c r="N14" i="7"/>
  <c r="M14" i="7"/>
  <c r="K14" i="7"/>
  <c r="J14" i="7"/>
  <c r="E14" i="7"/>
  <c r="D14" i="7"/>
  <c r="C14" i="7"/>
  <c r="P13" i="7"/>
  <c r="O13" i="7"/>
  <c r="N13" i="7"/>
  <c r="M13" i="7"/>
  <c r="L13" i="7"/>
  <c r="K13" i="7"/>
  <c r="J13" i="7"/>
  <c r="E13" i="7"/>
  <c r="D13" i="7"/>
  <c r="C13" i="7"/>
  <c r="P12" i="7"/>
  <c r="O12" i="7"/>
  <c r="N12" i="7"/>
  <c r="M12" i="7"/>
  <c r="L12" i="7"/>
  <c r="K12" i="7"/>
  <c r="J12" i="7"/>
  <c r="E12" i="7"/>
  <c r="D12" i="7"/>
  <c r="C12" i="7"/>
  <c r="P11" i="7"/>
  <c r="O11" i="7"/>
  <c r="N11" i="7"/>
  <c r="M11" i="7"/>
  <c r="L11" i="7"/>
  <c r="K11" i="7"/>
  <c r="J11" i="7"/>
  <c r="E11" i="7"/>
  <c r="D11" i="7"/>
  <c r="C11" i="7"/>
  <c r="P10" i="7"/>
  <c r="O10" i="7"/>
  <c r="N10" i="7"/>
  <c r="M10" i="7"/>
  <c r="L10" i="7"/>
  <c r="K10" i="7"/>
  <c r="J10" i="7"/>
  <c r="E10" i="7"/>
  <c r="D10" i="7"/>
  <c r="C10" i="7"/>
  <c r="P9" i="7"/>
  <c r="O9" i="7"/>
  <c r="N9" i="7"/>
  <c r="M9" i="7"/>
  <c r="L9" i="7"/>
  <c r="K9" i="7"/>
  <c r="J9" i="7"/>
  <c r="E9" i="7"/>
  <c r="D9" i="7"/>
  <c r="C9" i="7"/>
  <c r="P8" i="7"/>
  <c r="O8" i="7"/>
  <c r="N8" i="7"/>
  <c r="M8" i="7"/>
  <c r="K8" i="7"/>
  <c r="J8" i="7"/>
  <c r="E8" i="7"/>
  <c r="D8" i="7"/>
  <c r="C8" i="7"/>
  <c r="P7" i="7"/>
  <c r="O7" i="7"/>
  <c r="N7" i="7"/>
  <c r="M7" i="7"/>
  <c r="L7" i="7"/>
  <c r="K7" i="7"/>
  <c r="J7" i="7"/>
  <c r="E7" i="7"/>
  <c r="D7" i="7"/>
  <c r="C7" i="7"/>
  <c r="P6" i="7"/>
  <c r="O6" i="7"/>
  <c r="N6" i="7"/>
  <c r="M6" i="7"/>
  <c r="L6" i="7"/>
  <c r="K6" i="7"/>
  <c r="J6" i="7"/>
  <c r="E6" i="7"/>
  <c r="D6" i="7"/>
  <c r="C6" i="7"/>
  <c r="M10" i="6"/>
  <c r="L10" i="6"/>
  <c r="G10" i="6"/>
  <c r="M9" i="6"/>
  <c r="L9" i="6"/>
  <c r="G9" i="6"/>
  <c r="M8" i="6"/>
  <c r="F8" i="6"/>
  <c r="E8" i="6"/>
  <c r="M7" i="6"/>
  <c r="L7" i="6"/>
  <c r="M6" i="6"/>
  <c r="K39" i="5"/>
  <c r="W38" i="5"/>
  <c r="J38" i="5"/>
  <c r="W37" i="5"/>
  <c r="J37" i="5"/>
  <c r="W36" i="5"/>
  <c r="J36" i="5"/>
  <c r="W35" i="5"/>
  <c r="J35" i="5"/>
  <c r="F19" i="9" s="1"/>
  <c r="M19" i="9" s="1"/>
  <c r="W34" i="5"/>
  <c r="J34" i="5"/>
  <c r="W33" i="5"/>
  <c r="Q33" i="5"/>
  <c r="H34" i="11" s="1"/>
  <c r="J33" i="5"/>
  <c r="W32" i="5"/>
  <c r="J32" i="5"/>
  <c r="W31" i="5"/>
  <c r="J31" i="5"/>
  <c r="W30" i="5"/>
  <c r="J30" i="5"/>
  <c r="F16" i="9" s="1"/>
  <c r="M16" i="9" s="1"/>
  <c r="W29" i="5"/>
  <c r="J29" i="5"/>
  <c r="W28" i="5"/>
  <c r="J28" i="5"/>
  <c r="F17" i="7" s="1"/>
  <c r="W27" i="5"/>
  <c r="Q27" i="5"/>
  <c r="H28" i="11" s="1"/>
  <c r="J27" i="5"/>
  <c r="F16" i="7" s="1"/>
  <c r="Y26" i="5"/>
  <c r="X26" i="5"/>
  <c r="Q26" i="5"/>
  <c r="J27" i="4" s="1"/>
  <c r="J26" i="5"/>
  <c r="G8" i="6" s="1"/>
  <c r="Q25" i="5"/>
  <c r="I104" i="10" s="1"/>
  <c r="J25" i="5"/>
  <c r="G7" i="6" s="1"/>
  <c r="W24" i="5"/>
  <c r="J24" i="5"/>
  <c r="F15" i="7" s="1"/>
  <c r="W23" i="5"/>
  <c r="J23" i="5"/>
  <c r="F14" i="9" s="1"/>
  <c r="M14" i="9" s="1"/>
  <c r="W22" i="5"/>
  <c r="J22" i="5"/>
  <c r="W21" i="5"/>
  <c r="Q21" i="5"/>
  <c r="H22" i="11" s="1"/>
  <c r="J21" i="5"/>
  <c r="W20" i="5"/>
  <c r="J20" i="5"/>
  <c r="W19" i="5"/>
  <c r="J19" i="5"/>
  <c r="F12" i="7" s="1"/>
  <c r="W18" i="5"/>
  <c r="J18" i="5"/>
  <c r="F11" i="7" s="1"/>
  <c r="W17" i="5"/>
  <c r="J17" i="5"/>
  <c r="F12" i="9" s="1"/>
  <c r="M12" i="9" s="1"/>
  <c r="W16" i="5"/>
  <c r="J16" i="5"/>
  <c r="F10" i="7" s="1"/>
  <c r="W15" i="5"/>
  <c r="J15" i="5"/>
  <c r="F11" i="9" s="1"/>
  <c r="M11" i="9" s="1"/>
  <c r="W14" i="5"/>
  <c r="J14" i="5"/>
  <c r="Y13" i="5"/>
  <c r="X13" i="5"/>
  <c r="G37" i="10" s="1"/>
  <c r="Q13" i="5"/>
  <c r="I54" i="10" s="1"/>
  <c r="J13" i="5"/>
  <c r="C85" i="17" s="1"/>
  <c r="W12" i="5"/>
  <c r="J12" i="5"/>
  <c r="W11" i="5"/>
  <c r="J11" i="5"/>
  <c r="W10" i="5"/>
  <c r="Q10" i="5"/>
  <c r="L8" i="7" s="1"/>
  <c r="J10" i="5"/>
  <c r="W9" i="5"/>
  <c r="J9" i="5"/>
  <c r="W8" i="5"/>
  <c r="J8" i="5"/>
  <c r="F9" i="11" s="1"/>
  <c r="W7" i="5"/>
  <c r="J7" i="5"/>
  <c r="W6" i="5"/>
  <c r="J6" i="5"/>
  <c r="W5" i="5"/>
  <c r="J5" i="5"/>
  <c r="N39" i="4"/>
  <c r="M39" i="4"/>
  <c r="K39" i="4"/>
  <c r="J39" i="4"/>
  <c r="I39" i="4"/>
  <c r="H39" i="4"/>
  <c r="G39" i="4"/>
  <c r="F39" i="4"/>
  <c r="E39" i="4"/>
  <c r="D39" i="4"/>
  <c r="C39" i="4"/>
  <c r="B39" i="4"/>
  <c r="N38" i="4"/>
  <c r="M38" i="4"/>
  <c r="K38" i="4"/>
  <c r="J38" i="4"/>
  <c r="I38" i="4"/>
  <c r="H38" i="4"/>
  <c r="G38" i="4"/>
  <c r="F38" i="4"/>
  <c r="E38" i="4"/>
  <c r="D38" i="4"/>
  <c r="C38" i="4"/>
  <c r="B38" i="4"/>
  <c r="N37" i="4"/>
  <c r="M37" i="4"/>
  <c r="K37" i="4"/>
  <c r="J37" i="4"/>
  <c r="I37" i="4"/>
  <c r="H37" i="4"/>
  <c r="G37" i="4"/>
  <c r="F37" i="4"/>
  <c r="E37" i="4"/>
  <c r="D37" i="4"/>
  <c r="C37" i="4"/>
  <c r="B37" i="4"/>
  <c r="N36" i="4"/>
  <c r="M36" i="4"/>
  <c r="K36" i="4"/>
  <c r="J36" i="4"/>
  <c r="I36" i="4"/>
  <c r="H36" i="4"/>
  <c r="G36" i="4"/>
  <c r="F36" i="4"/>
  <c r="E36" i="4"/>
  <c r="D36" i="4"/>
  <c r="C36" i="4"/>
  <c r="B36" i="4"/>
  <c r="N35" i="4"/>
  <c r="M35" i="4"/>
  <c r="K35" i="4"/>
  <c r="J35" i="4"/>
  <c r="I35" i="4"/>
  <c r="H35" i="4"/>
  <c r="G35" i="4"/>
  <c r="F35" i="4"/>
  <c r="E35" i="4"/>
  <c r="D35" i="4"/>
  <c r="C35" i="4"/>
  <c r="B35" i="4"/>
  <c r="M34" i="4"/>
  <c r="K34" i="4"/>
  <c r="I34" i="4"/>
  <c r="H34" i="4"/>
  <c r="G34" i="4"/>
  <c r="F34" i="4"/>
  <c r="E34" i="4"/>
  <c r="D34" i="4"/>
  <c r="C34" i="4"/>
  <c r="B34" i="4"/>
  <c r="N33" i="4"/>
  <c r="M33" i="4"/>
  <c r="K33" i="4"/>
  <c r="J33" i="4"/>
  <c r="I33" i="4"/>
  <c r="H33" i="4"/>
  <c r="G33" i="4"/>
  <c r="F33" i="4"/>
  <c r="E33" i="4"/>
  <c r="D33" i="4"/>
  <c r="C33" i="4"/>
  <c r="B33" i="4"/>
  <c r="N32" i="4"/>
  <c r="M32" i="4"/>
  <c r="K32" i="4"/>
  <c r="J32" i="4"/>
  <c r="I32" i="4"/>
  <c r="H32" i="4"/>
  <c r="G32" i="4"/>
  <c r="F32" i="4"/>
  <c r="E32" i="4"/>
  <c r="D32" i="4"/>
  <c r="C32" i="4"/>
  <c r="B32" i="4"/>
  <c r="N31" i="4"/>
  <c r="M31" i="4"/>
  <c r="K31" i="4"/>
  <c r="J31" i="4"/>
  <c r="I31" i="4"/>
  <c r="H31" i="4"/>
  <c r="G31" i="4"/>
  <c r="F31" i="4"/>
  <c r="E31" i="4"/>
  <c r="D31" i="4"/>
  <c r="C31" i="4"/>
  <c r="B31" i="4"/>
  <c r="N30" i="4"/>
  <c r="M30" i="4"/>
  <c r="K30" i="4"/>
  <c r="J30" i="4"/>
  <c r="I30" i="4"/>
  <c r="H30" i="4"/>
  <c r="G30" i="4"/>
  <c r="F30" i="4"/>
  <c r="E30" i="4"/>
  <c r="D30" i="4"/>
  <c r="C30" i="4"/>
  <c r="B30" i="4"/>
  <c r="M29" i="4"/>
  <c r="K29" i="4"/>
  <c r="I29" i="4"/>
  <c r="H29" i="4"/>
  <c r="G29" i="4"/>
  <c r="F29" i="4"/>
  <c r="E29" i="4"/>
  <c r="D29" i="4"/>
  <c r="C29" i="4"/>
  <c r="B29" i="4"/>
  <c r="M28" i="4"/>
  <c r="K28" i="4"/>
  <c r="I28" i="4"/>
  <c r="H28" i="4"/>
  <c r="G28" i="4"/>
  <c r="F28" i="4"/>
  <c r="E28" i="4"/>
  <c r="D28" i="4"/>
  <c r="C28" i="4"/>
  <c r="B28" i="4"/>
  <c r="M27" i="4"/>
  <c r="K27" i="4"/>
  <c r="I27" i="4"/>
  <c r="H27" i="4"/>
  <c r="G27" i="4"/>
  <c r="F27" i="4"/>
  <c r="E27" i="4"/>
  <c r="D27" i="4"/>
  <c r="C27" i="4"/>
  <c r="B27" i="4"/>
  <c r="M26" i="4"/>
  <c r="K26" i="4"/>
  <c r="I26" i="4"/>
  <c r="H26" i="4"/>
  <c r="G26" i="4"/>
  <c r="F26" i="4"/>
  <c r="E26" i="4"/>
  <c r="D26" i="4"/>
  <c r="C26" i="4"/>
  <c r="B26" i="4"/>
  <c r="N25" i="4"/>
  <c r="M25" i="4"/>
  <c r="K25" i="4"/>
  <c r="J25" i="4"/>
  <c r="I25" i="4"/>
  <c r="H25" i="4"/>
  <c r="G25" i="4"/>
  <c r="F25" i="4"/>
  <c r="E25" i="4"/>
  <c r="D25" i="4"/>
  <c r="C25" i="4"/>
  <c r="B25" i="4"/>
  <c r="N24" i="4"/>
  <c r="M24" i="4"/>
  <c r="K24" i="4"/>
  <c r="J24" i="4"/>
  <c r="I24" i="4"/>
  <c r="H24" i="4"/>
  <c r="G24" i="4"/>
  <c r="F24" i="4"/>
  <c r="E24" i="4"/>
  <c r="D24" i="4"/>
  <c r="C24" i="4"/>
  <c r="B24" i="4"/>
  <c r="N23" i="4"/>
  <c r="M23" i="4"/>
  <c r="K23" i="4"/>
  <c r="J23" i="4"/>
  <c r="I23" i="4"/>
  <c r="H23" i="4"/>
  <c r="G23" i="4"/>
  <c r="F23" i="4"/>
  <c r="E23" i="4"/>
  <c r="D23" i="4"/>
  <c r="C23" i="4"/>
  <c r="B23" i="4"/>
  <c r="M22" i="4"/>
  <c r="K22" i="4"/>
  <c r="J22" i="4"/>
  <c r="I22" i="4"/>
  <c r="H22" i="4"/>
  <c r="G22" i="4"/>
  <c r="F22" i="4"/>
  <c r="E22" i="4"/>
  <c r="D22" i="4"/>
  <c r="C22" i="4"/>
  <c r="B22" i="4"/>
  <c r="N21" i="4"/>
  <c r="M21" i="4"/>
  <c r="K21" i="4"/>
  <c r="J21" i="4"/>
  <c r="I21" i="4"/>
  <c r="H21" i="4"/>
  <c r="G21" i="4"/>
  <c r="F21" i="4"/>
  <c r="E21" i="4"/>
  <c r="D21" i="4"/>
  <c r="C21" i="4"/>
  <c r="B21" i="4"/>
  <c r="N20" i="4"/>
  <c r="M20" i="4"/>
  <c r="K20" i="4"/>
  <c r="J20" i="4"/>
  <c r="I20" i="4"/>
  <c r="H20" i="4"/>
  <c r="G20" i="4"/>
  <c r="F20" i="4"/>
  <c r="E20" i="4"/>
  <c r="D20" i="4"/>
  <c r="C20" i="4"/>
  <c r="B20" i="4"/>
  <c r="N19" i="4"/>
  <c r="M19" i="4"/>
  <c r="K19" i="4"/>
  <c r="J19" i="4"/>
  <c r="I19" i="4"/>
  <c r="H19" i="4"/>
  <c r="G19" i="4"/>
  <c r="F19" i="4"/>
  <c r="E19" i="4"/>
  <c r="D19" i="4"/>
  <c r="C19" i="4"/>
  <c r="B19" i="4"/>
  <c r="N18" i="4"/>
  <c r="M18" i="4"/>
  <c r="K18" i="4"/>
  <c r="J18" i="4"/>
  <c r="I18" i="4"/>
  <c r="H18" i="4"/>
  <c r="G18" i="4"/>
  <c r="F18" i="4"/>
  <c r="E18" i="4"/>
  <c r="D18" i="4"/>
  <c r="C18" i="4"/>
  <c r="B18" i="4"/>
  <c r="N17" i="4"/>
  <c r="M17" i="4"/>
  <c r="K17" i="4"/>
  <c r="J17" i="4"/>
  <c r="I17" i="4"/>
  <c r="H17" i="4"/>
  <c r="G17" i="4"/>
  <c r="F17" i="4"/>
  <c r="E17" i="4"/>
  <c r="D17" i="4"/>
  <c r="C17" i="4"/>
  <c r="B17" i="4"/>
  <c r="N16" i="4"/>
  <c r="M16" i="4"/>
  <c r="K16" i="4"/>
  <c r="J16" i="4"/>
  <c r="I16" i="4"/>
  <c r="H16" i="4"/>
  <c r="G16" i="4"/>
  <c r="F16" i="4"/>
  <c r="E16" i="4"/>
  <c r="D16" i="4"/>
  <c r="C16" i="4"/>
  <c r="B16" i="4"/>
  <c r="N15" i="4"/>
  <c r="M15" i="4"/>
  <c r="K15" i="4"/>
  <c r="J15" i="4"/>
  <c r="I15" i="4"/>
  <c r="H15" i="4"/>
  <c r="G15" i="4"/>
  <c r="F15" i="4"/>
  <c r="E15" i="4"/>
  <c r="D15" i="4"/>
  <c r="C15" i="4"/>
  <c r="B15" i="4"/>
  <c r="M14" i="4"/>
  <c r="K14" i="4"/>
  <c r="I14" i="4"/>
  <c r="H14" i="4"/>
  <c r="G14" i="4"/>
  <c r="F14" i="4"/>
  <c r="E14" i="4"/>
  <c r="D14" i="4"/>
  <c r="C14" i="4"/>
  <c r="B14" i="4"/>
  <c r="N13" i="4"/>
  <c r="M13" i="4"/>
  <c r="K13" i="4"/>
  <c r="J13" i="4"/>
  <c r="I13" i="4"/>
  <c r="H13" i="4"/>
  <c r="G13" i="4"/>
  <c r="F13" i="4"/>
  <c r="E13" i="4"/>
  <c r="D13" i="4"/>
  <c r="C13" i="4"/>
  <c r="B13" i="4"/>
  <c r="N12" i="4"/>
  <c r="M12" i="4"/>
  <c r="K12" i="4"/>
  <c r="J12" i="4"/>
  <c r="I12" i="4"/>
  <c r="H12" i="4"/>
  <c r="G12" i="4"/>
  <c r="F12" i="4"/>
  <c r="E12" i="4"/>
  <c r="D12" i="4"/>
  <c r="C12" i="4"/>
  <c r="B12" i="4"/>
  <c r="M11" i="4"/>
  <c r="K11" i="4"/>
  <c r="I11" i="4"/>
  <c r="H11" i="4"/>
  <c r="G11" i="4"/>
  <c r="F11" i="4"/>
  <c r="E11" i="4"/>
  <c r="D11" i="4"/>
  <c r="C11" i="4"/>
  <c r="B11" i="4"/>
  <c r="N10" i="4"/>
  <c r="M10" i="4"/>
  <c r="K10" i="4"/>
  <c r="J10" i="4"/>
  <c r="I10" i="4"/>
  <c r="H10" i="4"/>
  <c r="G10" i="4"/>
  <c r="F10" i="4"/>
  <c r="E10" i="4"/>
  <c r="D10" i="4"/>
  <c r="C10" i="4"/>
  <c r="B10" i="4"/>
  <c r="N9" i="4"/>
  <c r="M9" i="4"/>
  <c r="K9" i="4"/>
  <c r="J9" i="4"/>
  <c r="I9" i="4"/>
  <c r="H9" i="4"/>
  <c r="G9" i="4"/>
  <c r="F9" i="4"/>
  <c r="E9" i="4"/>
  <c r="D9" i="4"/>
  <c r="C9" i="4"/>
  <c r="B9" i="4"/>
  <c r="N8" i="4"/>
  <c r="M8" i="4"/>
  <c r="K8" i="4"/>
  <c r="J8" i="4"/>
  <c r="I8" i="4"/>
  <c r="H8" i="4"/>
  <c r="G8" i="4"/>
  <c r="F8" i="4"/>
  <c r="E8" i="4"/>
  <c r="D8" i="4"/>
  <c r="C8" i="4"/>
  <c r="B8" i="4"/>
  <c r="N7" i="4"/>
  <c r="M7" i="4"/>
  <c r="K7" i="4"/>
  <c r="J7" i="4"/>
  <c r="I7" i="4"/>
  <c r="H7" i="4"/>
  <c r="G7" i="4"/>
  <c r="F7" i="4"/>
  <c r="E7" i="4"/>
  <c r="D7" i="4"/>
  <c r="C7" i="4"/>
  <c r="B7" i="4"/>
  <c r="N6" i="4"/>
  <c r="M6" i="4"/>
  <c r="K6" i="4"/>
  <c r="J6" i="4"/>
  <c r="I6" i="4"/>
  <c r="H6" i="4"/>
  <c r="G6" i="4"/>
  <c r="F6" i="4"/>
  <c r="E6" i="4"/>
  <c r="D6" i="4"/>
  <c r="C6" i="4"/>
  <c r="B6" i="4"/>
  <c r="C38" i="3"/>
  <c r="C36" i="3"/>
  <c r="C35" i="3"/>
  <c r="C34" i="3"/>
  <c r="I48" i="17" s="1"/>
  <c r="C33" i="3"/>
  <c r="F51" i="16" s="1"/>
  <c r="C32" i="3"/>
  <c r="C31" i="3"/>
  <c r="C30" i="3"/>
  <c r="G28" i="12" s="1"/>
  <c r="J23" i="17" s="1"/>
  <c r="C29" i="3"/>
  <c r="C28" i="3"/>
  <c r="I46" i="17" s="1"/>
  <c r="C27" i="3"/>
  <c r="C26" i="3"/>
  <c r="I45" i="17" s="1"/>
  <c r="C25" i="3"/>
  <c r="C8" i="3"/>
  <c r="I53" i="17"/>
  <c r="E48" i="17"/>
  <c r="C48" i="17"/>
  <c r="E47" i="17"/>
  <c r="C47" i="17"/>
  <c r="G47" i="17" s="1"/>
  <c r="E46" i="17"/>
  <c r="C46" i="17"/>
  <c r="E45" i="17"/>
  <c r="C45" i="17"/>
  <c r="E44" i="17"/>
  <c r="C44" i="17"/>
  <c r="C39" i="17"/>
  <c r="G39" i="17" s="1"/>
  <c r="B39" i="17"/>
  <c r="I38" i="17"/>
  <c r="C38" i="17"/>
  <c r="G38" i="17" s="1"/>
  <c r="B38" i="17"/>
  <c r="C37" i="17"/>
  <c r="G37" i="17" s="1"/>
  <c r="B37" i="17"/>
  <c r="C36" i="17"/>
  <c r="G36" i="17" s="1"/>
  <c r="B36" i="17"/>
  <c r="L22" i="17"/>
  <c r="J22" i="17"/>
  <c r="H22" i="17"/>
  <c r="F22" i="17"/>
  <c r="D22" i="17"/>
  <c r="B22" i="17"/>
  <c r="L20" i="17"/>
  <c r="J20" i="17"/>
  <c r="H20" i="17"/>
  <c r="F20" i="17"/>
  <c r="D20" i="17"/>
  <c r="B20" i="17"/>
  <c r="L18" i="17"/>
  <c r="J18" i="17"/>
  <c r="H18" i="17"/>
  <c r="F18" i="17"/>
  <c r="D18" i="17"/>
  <c r="B18" i="17"/>
  <c r="L16" i="17"/>
  <c r="J16" i="17"/>
  <c r="H16" i="17"/>
  <c r="F16" i="17"/>
  <c r="D16" i="17"/>
  <c r="B16" i="17"/>
  <c r="L12" i="17"/>
  <c r="J12" i="17"/>
  <c r="H12" i="17"/>
  <c r="H10" i="17"/>
  <c r="F5" i="17"/>
  <c r="D5" i="17"/>
  <c r="J34" i="4" l="1"/>
  <c r="J28" i="4"/>
  <c r="N34" i="4"/>
  <c r="N14" i="4"/>
  <c r="G10" i="12"/>
  <c r="G6" i="12"/>
  <c r="G21" i="12"/>
  <c r="G19" i="12"/>
  <c r="G48" i="17"/>
  <c r="J14" i="4"/>
  <c r="E6" i="6"/>
  <c r="J26" i="4"/>
  <c r="N26" i="4"/>
  <c r="N28" i="4"/>
  <c r="N22" i="4"/>
  <c r="L14" i="7"/>
  <c r="I36" i="17"/>
  <c r="G45" i="17"/>
  <c r="F6" i="9"/>
  <c r="M6" i="9" s="1"/>
  <c r="D88" i="17"/>
  <c r="C83" i="17"/>
  <c r="C82" i="17"/>
  <c r="N11" i="4"/>
  <c r="N27" i="4"/>
  <c r="F16" i="18"/>
  <c r="B10" i="17"/>
  <c r="D10" i="17"/>
  <c r="F10" i="17"/>
  <c r="F17" i="18"/>
  <c r="B7" i="10"/>
  <c r="G33" i="10"/>
  <c r="I122" i="10"/>
  <c r="K38" i="17"/>
  <c r="M38" i="17" s="1"/>
  <c r="F6" i="7"/>
  <c r="D83" i="17"/>
  <c r="F7" i="10"/>
  <c r="C98" i="17"/>
  <c r="G44" i="17"/>
  <c r="J11" i="4"/>
  <c r="F8" i="7"/>
  <c r="E100" i="17"/>
  <c r="C100" i="17"/>
  <c r="F14" i="18"/>
  <c r="G25" i="12"/>
  <c r="G24" i="12"/>
  <c r="G26" i="12"/>
  <c r="G8" i="12"/>
  <c r="G23" i="12"/>
  <c r="M11" i="6"/>
  <c r="G46" i="17"/>
  <c r="G182" i="10"/>
  <c r="G179" i="10"/>
  <c r="G176" i="10"/>
  <c r="G173" i="10"/>
  <c r="G143" i="10"/>
  <c r="G180" i="10"/>
  <c r="G177" i="10"/>
  <c r="G174" i="10"/>
  <c r="G183" i="10"/>
  <c r="G186" i="10"/>
  <c r="G184" i="10"/>
  <c r="G181" i="10"/>
  <c r="G172" i="10"/>
  <c r="G137" i="10"/>
  <c r="G140" i="10"/>
  <c r="G135" i="10"/>
  <c r="G178" i="10"/>
  <c r="G138" i="10"/>
  <c r="E131" i="10"/>
  <c r="G141" i="10"/>
  <c r="G185" i="10"/>
  <c r="G136" i="10"/>
  <c r="G134" i="10"/>
  <c r="G142" i="10"/>
  <c r="G175" i="10"/>
  <c r="G139" i="10"/>
  <c r="F32" i="11"/>
  <c r="F32" i="14"/>
  <c r="I54" i="17"/>
  <c r="K54" i="17" s="1"/>
  <c r="M54" i="17" s="1"/>
  <c r="I39" i="17"/>
  <c r="K39" i="17" s="1"/>
  <c r="M39" i="17" s="1"/>
  <c r="F17" i="9"/>
  <c r="M17" i="9" s="1"/>
  <c r="L28" i="5"/>
  <c r="L37" i="5"/>
  <c r="L30" i="5"/>
  <c r="L26" i="5"/>
  <c r="L19" i="5"/>
  <c r="L10" i="5"/>
  <c r="L14" i="5"/>
  <c r="L12" i="5"/>
  <c r="L5" i="5"/>
  <c r="L32" i="5"/>
  <c r="L21" i="5"/>
  <c r="L34" i="5"/>
  <c r="L23" i="5"/>
  <c r="N23" i="5" s="1"/>
  <c r="L16" i="5"/>
  <c r="L7" i="5"/>
  <c r="N7" i="5" s="1"/>
  <c r="L36" i="5"/>
  <c r="L29" i="5"/>
  <c r="L27" i="5"/>
  <c r="N27" i="5" s="1"/>
  <c r="L25" i="5"/>
  <c r="L18" i="5"/>
  <c r="L9" i="5"/>
  <c r="L11" i="5"/>
  <c r="L38" i="5"/>
  <c r="N38" i="5" s="1"/>
  <c r="L31" i="5"/>
  <c r="L20" i="5"/>
  <c r="L33" i="5"/>
  <c r="N33" i="5" s="1"/>
  <c r="L35" i="5"/>
  <c r="L24" i="5"/>
  <c r="L17" i="5"/>
  <c r="L8" i="5"/>
  <c r="D55" i="16"/>
  <c r="I15" i="12"/>
  <c r="G15" i="12"/>
  <c r="H19" i="17" s="1"/>
  <c r="I9" i="12"/>
  <c r="G9" i="12"/>
  <c r="H17" i="17" s="1"/>
  <c r="L13" i="5"/>
  <c r="L22" i="5"/>
  <c r="N22" i="5" s="1"/>
  <c r="F39" i="14"/>
  <c r="F39" i="11"/>
  <c r="I39" i="11" s="1"/>
  <c r="J39" i="11" s="1"/>
  <c r="F22" i="9"/>
  <c r="M22" i="9" s="1"/>
  <c r="I55" i="17"/>
  <c r="K55" i="17" s="1"/>
  <c r="M55" i="17" s="1"/>
  <c r="I40" i="17"/>
  <c r="K40" i="17" s="1"/>
  <c r="M40" i="17" s="1"/>
  <c r="I8" i="8"/>
  <c r="H29" i="11"/>
  <c r="L17" i="7"/>
  <c r="N29" i="4"/>
  <c r="J29" i="4"/>
  <c r="F21" i="11"/>
  <c r="F21" i="14"/>
  <c r="D7" i="6"/>
  <c r="K53" i="17"/>
  <c r="M53" i="17" s="1"/>
  <c r="K36" i="17"/>
  <c r="F13" i="7"/>
  <c r="I37" i="17"/>
  <c r="K37" i="17" s="1"/>
  <c r="M37" i="17" s="1"/>
  <c r="I52" i="17"/>
  <c r="K52" i="17" s="1"/>
  <c r="M52" i="17" s="1"/>
  <c r="E7" i="6"/>
  <c r="L6" i="5"/>
  <c r="N6" i="5" s="1"/>
  <c r="L15" i="5"/>
  <c r="N15" i="5" s="1"/>
  <c r="G20" i="12"/>
  <c r="G14" i="12"/>
  <c r="E10" i="18"/>
  <c r="F10" i="18" s="1"/>
  <c r="F34" i="11"/>
  <c r="F34" i="14"/>
  <c r="I36" i="10"/>
  <c r="G38" i="10"/>
  <c r="G40" i="10"/>
  <c r="I42" i="10"/>
  <c r="G49" i="10"/>
  <c r="I51" i="10"/>
  <c r="G58" i="10"/>
  <c r="I60" i="10"/>
  <c r="F7" i="14"/>
  <c r="F7" i="11"/>
  <c r="I7" i="11" s="1"/>
  <c r="J7" i="11" s="1"/>
  <c r="D30" i="18"/>
  <c r="H11" i="11"/>
  <c r="E19" i="18"/>
  <c r="F19" i="18" s="1"/>
  <c r="D11" i="18"/>
  <c r="F14" i="11"/>
  <c r="F14" i="14"/>
  <c r="F16" i="11"/>
  <c r="F16" i="14"/>
  <c r="F23" i="14"/>
  <c r="F23" i="11"/>
  <c r="H27" i="11"/>
  <c r="I183" i="10"/>
  <c r="I186" i="10"/>
  <c r="I156" i="10"/>
  <c r="I147" i="10"/>
  <c r="I140" i="10"/>
  <c r="I131" i="10"/>
  <c r="I174" i="10"/>
  <c r="I154" i="10"/>
  <c r="I145" i="10"/>
  <c r="I135" i="10"/>
  <c r="I176" i="10"/>
  <c r="I178" i="10"/>
  <c r="I152" i="10"/>
  <c r="I143" i="10"/>
  <c r="I138" i="10"/>
  <c r="I169" i="10"/>
  <c r="I163" i="10"/>
  <c r="I150" i="10"/>
  <c r="I180" i="10"/>
  <c r="I171" i="10"/>
  <c r="I167" i="10"/>
  <c r="I165" i="10"/>
  <c r="I161" i="10"/>
  <c r="I159" i="10"/>
  <c r="I157" i="10"/>
  <c r="I148" i="10"/>
  <c r="I141" i="10"/>
  <c r="I136" i="10"/>
  <c r="I185" i="10"/>
  <c r="I173" i="10"/>
  <c r="I182" i="10"/>
  <c r="I175" i="10"/>
  <c r="I155" i="10"/>
  <c r="I146" i="10"/>
  <c r="I139" i="10"/>
  <c r="I179" i="10"/>
  <c r="I166" i="10"/>
  <c r="I160" i="10"/>
  <c r="I137" i="10"/>
  <c r="I184" i="10"/>
  <c r="I181" i="10"/>
  <c r="I172" i="10"/>
  <c r="I170" i="10"/>
  <c r="I168" i="10"/>
  <c r="I164" i="10"/>
  <c r="I162" i="10"/>
  <c r="I158" i="10"/>
  <c r="I149" i="10"/>
  <c r="D6" i="6"/>
  <c r="F7" i="6"/>
  <c r="N6" i="8"/>
  <c r="I10" i="10"/>
  <c r="I13" i="10"/>
  <c r="I16" i="10"/>
  <c r="I19" i="10"/>
  <c r="I22" i="10"/>
  <c r="I25" i="10"/>
  <c r="I28" i="10"/>
  <c r="I31" i="10"/>
  <c r="I95" i="10"/>
  <c r="I113" i="10"/>
  <c r="G29" i="12"/>
  <c r="G50" i="16"/>
  <c r="H51" i="16"/>
  <c r="G51" i="16"/>
  <c r="H50" i="16"/>
  <c r="G18" i="12"/>
  <c r="F12" i="14"/>
  <c r="F12" i="11"/>
  <c r="G27" i="15"/>
  <c r="F131" i="10"/>
  <c r="F6" i="6"/>
  <c r="J8" i="8"/>
  <c r="G12" i="10"/>
  <c r="G15" i="10"/>
  <c r="G30" i="10"/>
  <c r="G45" i="10"/>
  <c r="G54" i="10"/>
  <c r="I92" i="10"/>
  <c r="I110" i="10"/>
  <c r="C18" i="16"/>
  <c r="G17" i="12"/>
  <c r="G16" i="12"/>
  <c r="G22" i="12"/>
  <c r="G12" i="12"/>
  <c r="G11" i="12"/>
  <c r="E18" i="16"/>
  <c r="G13" i="12"/>
  <c r="G27" i="12"/>
  <c r="D18" i="16"/>
  <c r="F10" i="14"/>
  <c r="F10" i="11"/>
  <c r="N13" i="5"/>
  <c r="H14" i="14" s="1"/>
  <c r="F19" i="14"/>
  <c r="F19" i="11"/>
  <c r="D12" i="18"/>
  <c r="F26" i="14"/>
  <c r="F26" i="11"/>
  <c r="B69" i="10"/>
  <c r="H69" i="10"/>
  <c r="F28" i="11"/>
  <c r="F28" i="14"/>
  <c r="F30" i="11"/>
  <c r="F30" i="14"/>
  <c r="F37" i="11"/>
  <c r="F37" i="14"/>
  <c r="G6" i="6"/>
  <c r="G11" i="6" s="1"/>
  <c r="F18" i="7"/>
  <c r="E6" i="8"/>
  <c r="N7" i="8"/>
  <c r="F15" i="9"/>
  <c r="M15" i="9" s="1"/>
  <c r="I33" i="10"/>
  <c r="G35" i="10"/>
  <c r="G43" i="10"/>
  <c r="I45" i="10"/>
  <c r="G52" i="10"/>
  <c r="G61" i="10"/>
  <c r="I142" i="10"/>
  <c r="I177" i="10"/>
  <c r="G7" i="12"/>
  <c r="H14" i="11"/>
  <c r="I61" i="10"/>
  <c r="I58" i="10"/>
  <c r="I55" i="10"/>
  <c r="I52" i="10"/>
  <c r="I49" i="10"/>
  <c r="I46" i="10"/>
  <c r="I43" i="10"/>
  <c r="I40" i="10"/>
  <c r="I62" i="10"/>
  <c r="I59" i="10"/>
  <c r="I56" i="10"/>
  <c r="I53" i="10"/>
  <c r="I50" i="10"/>
  <c r="I47" i="10"/>
  <c r="I44" i="10"/>
  <c r="I41" i="10"/>
  <c r="I38" i="10"/>
  <c r="I35" i="10"/>
  <c r="I32" i="10"/>
  <c r="L8" i="6"/>
  <c r="D10" i="6"/>
  <c r="E7" i="10"/>
  <c r="I12" i="10"/>
  <c r="I15" i="10"/>
  <c r="I18" i="10"/>
  <c r="I21" i="10"/>
  <c r="I24" i="10"/>
  <c r="I27" i="10"/>
  <c r="I30" i="10"/>
  <c r="I74" i="10"/>
  <c r="I89" i="10"/>
  <c r="I107" i="10"/>
  <c r="I151" i="10"/>
  <c r="F9" i="14"/>
  <c r="I44" i="17"/>
  <c r="I47" i="17"/>
  <c r="E8" i="18"/>
  <c r="F8" i="14"/>
  <c r="F8" i="11"/>
  <c r="N11" i="5"/>
  <c r="G62" i="10"/>
  <c r="G59" i="10"/>
  <c r="G56" i="10"/>
  <c r="G53" i="10"/>
  <c r="G50" i="10"/>
  <c r="G47" i="10"/>
  <c r="G44" i="10"/>
  <c r="G41" i="10"/>
  <c r="F17" i="11"/>
  <c r="F17" i="14"/>
  <c r="F24" i="11"/>
  <c r="I24" i="11" s="1"/>
  <c r="J24" i="11" s="1"/>
  <c r="F24" i="14"/>
  <c r="F35" i="11"/>
  <c r="F35" i="14"/>
  <c r="E10" i="6"/>
  <c r="F7" i="7"/>
  <c r="L16" i="7"/>
  <c r="F19" i="7"/>
  <c r="I77" i="10"/>
  <c r="I80" i="10"/>
  <c r="I83" i="10"/>
  <c r="I86" i="10"/>
  <c r="I119" i="10"/>
  <c r="I134" i="10"/>
  <c r="K134" i="10" s="1"/>
  <c r="E20" i="18"/>
  <c r="F20" i="18" s="1"/>
  <c r="G14" i="15"/>
  <c r="N18" i="5"/>
  <c r="F22" i="14"/>
  <c r="F22" i="11"/>
  <c r="N25" i="5"/>
  <c r="H26" i="14" s="1"/>
  <c r="N29" i="5"/>
  <c r="F33" i="14"/>
  <c r="F33" i="11"/>
  <c r="I33" i="11" s="1"/>
  <c r="J33" i="11" s="1"/>
  <c r="N36" i="5"/>
  <c r="J39" i="5"/>
  <c r="D9" i="6"/>
  <c r="F10" i="6"/>
  <c r="E7" i="8"/>
  <c r="K7" i="8" s="1"/>
  <c r="N8" i="8"/>
  <c r="F18" i="9"/>
  <c r="M18" i="9" s="1"/>
  <c r="G11" i="10"/>
  <c r="G14" i="10"/>
  <c r="G17" i="10"/>
  <c r="G32" i="10"/>
  <c r="I37" i="10"/>
  <c r="G39" i="10"/>
  <c r="G48" i="10"/>
  <c r="G57" i="10"/>
  <c r="H28" i="12"/>
  <c r="I28" i="12" s="1"/>
  <c r="D8" i="18"/>
  <c r="D7" i="18"/>
  <c r="F6" i="11"/>
  <c r="F6" i="14"/>
  <c r="F13" i="11"/>
  <c r="I13" i="11" s="1"/>
  <c r="J13" i="11" s="1"/>
  <c r="F13" i="14"/>
  <c r="F15" i="11"/>
  <c r="I15" i="11" s="1"/>
  <c r="J15" i="11" s="1"/>
  <c r="F15" i="14"/>
  <c r="H26" i="11"/>
  <c r="I123" i="10"/>
  <c r="I120" i="10"/>
  <c r="I117" i="10"/>
  <c r="I114" i="10"/>
  <c r="I111" i="10"/>
  <c r="I108" i="10"/>
  <c r="I105" i="10"/>
  <c r="I102" i="10"/>
  <c r="I99" i="10"/>
  <c r="I96" i="10"/>
  <c r="I93" i="10"/>
  <c r="I90" i="10"/>
  <c r="I87" i="10"/>
  <c r="I84" i="10"/>
  <c r="I81" i="10"/>
  <c r="I78" i="10"/>
  <c r="I75" i="10"/>
  <c r="I72" i="10"/>
  <c r="K72" i="10" s="1"/>
  <c r="L72" i="10" s="1"/>
  <c r="I124" i="10"/>
  <c r="I121" i="10"/>
  <c r="I118" i="10"/>
  <c r="I115" i="10"/>
  <c r="I112" i="10"/>
  <c r="I109" i="10"/>
  <c r="I106" i="10"/>
  <c r="I103" i="10"/>
  <c r="I100" i="10"/>
  <c r="I97" i="10"/>
  <c r="I94" i="10"/>
  <c r="I91" i="10"/>
  <c r="I88" i="10"/>
  <c r="I85" i="10"/>
  <c r="I82" i="10"/>
  <c r="I79" i="10"/>
  <c r="I76" i="10"/>
  <c r="I73" i="10"/>
  <c r="I69" i="10"/>
  <c r="E9" i="6"/>
  <c r="F14" i="7"/>
  <c r="I6" i="8"/>
  <c r="F7" i="9"/>
  <c r="M7" i="9" s="1"/>
  <c r="H7" i="10"/>
  <c r="I39" i="10"/>
  <c r="G46" i="10"/>
  <c r="I48" i="10"/>
  <c r="G55" i="10"/>
  <c r="I57" i="10"/>
  <c r="J72" i="10"/>
  <c r="H72" i="10"/>
  <c r="E73" i="10" s="1"/>
  <c r="F75" i="10"/>
  <c r="F125" i="10" s="1"/>
  <c r="F11" i="14"/>
  <c r="F11" i="11"/>
  <c r="F20" i="11"/>
  <c r="F20" i="14"/>
  <c r="D13" i="18"/>
  <c r="F27" i="14"/>
  <c r="F27" i="11"/>
  <c r="H131" i="10"/>
  <c r="F140" i="10"/>
  <c r="F187" i="10" s="1"/>
  <c r="B131" i="10"/>
  <c r="F31" i="14"/>
  <c r="F31" i="11"/>
  <c r="N34" i="5"/>
  <c r="F38" i="14"/>
  <c r="F38" i="11"/>
  <c r="I38" i="11" s="1"/>
  <c r="J38" i="11" s="1"/>
  <c r="L6" i="6"/>
  <c r="D8" i="6"/>
  <c r="F9" i="6"/>
  <c r="J6" i="8"/>
  <c r="F8" i="9"/>
  <c r="M8" i="9" s="1"/>
  <c r="F20" i="9"/>
  <c r="M20" i="9" s="1"/>
  <c r="I7" i="10"/>
  <c r="I11" i="10"/>
  <c r="I14" i="10"/>
  <c r="I17" i="10"/>
  <c r="I20" i="10"/>
  <c r="I23" i="10"/>
  <c r="I26" i="10"/>
  <c r="I29" i="10"/>
  <c r="G34" i="10"/>
  <c r="I101" i="10"/>
  <c r="F29" i="11"/>
  <c r="F29" i="14"/>
  <c r="F9" i="7"/>
  <c r="L18" i="7"/>
  <c r="E8" i="8"/>
  <c r="K8" i="8" s="1"/>
  <c r="F9" i="9"/>
  <c r="M9" i="9" s="1"/>
  <c r="F21" i="9"/>
  <c r="M21" i="9" s="1"/>
  <c r="F10" i="10"/>
  <c r="I116" i="10"/>
  <c r="I144" i="10"/>
  <c r="N5" i="5"/>
  <c r="N12" i="5"/>
  <c r="N14" i="5"/>
  <c r="F18" i="14"/>
  <c r="F18" i="11"/>
  <c r="I18" i="11" s="1"/>
  <c r="J18" i="11" s="1"/>
  <c r="F25" i="11"/>
  <c r="F25" i="14"/>
  <c r="F36" i="11"/>
  <c r="I36" i="11" s="1"/>
  <c r="J36" i="11" s="1"/>
  <c r="F36" i="14"/>
  <c r="L11" i="6"/>
  <c r="F10" i="9"/>
  <c r="M10" i="9" s="1"/>
  <c r="G10" i="10"/>
  <c r="G13" i="10"/>
  <c r="G16" i="10"/>
  <c r="G31" i="10"/>
  <c r="I34" i="10"/>
  <c r="G36" i="10"/>
  <c r="G42" i="10"/>
  <c r="G51" i="10"/>
  <c r="G60" i="10"/>
  <c r="I98" i="10"/>
  <c r="I153" i="10"/>
  <c r="I32" i="11"/>
  <c r="J32" i="11" s="1"/>
  <c r="I9" i="11"/>
  <c r="J9" i="11" s="1"/>
  <c r="I37" i="11"/>
  <c r="J37" i="11" s="1"/>
  <c r="I23" i="11"/>
  <c r="J23" i="11" s="1"/>
  <c r="I30" i="11"/>
  <c r="J30" i="11" s="1"/>
  <c r="I31" i="11"/>
  <c r="J31" i="11" s="1"/>
  <c r="H45" i="15"/>
  <c r="H44" i="15"/>
  <c r="I16" i="11"/>
  <c r="J16" i="11" s="1"/>
  <c r="H43" i="15"/>
  <c r="H46" i="15"/>
  <c r="D42" i="4" l="1"/>
  <c r="D44" i="4"/>
  <c r="E19" i="16"/>
  <c r="D45" i="4"/>
  <c r="D43" i="4"/>
  <c r="E11" i="6"/>
  <c r="E83" i="17"/>
  <c r="F20" i="7"/>
  <c r="G23" i="7" s="1"/>
  <c r="F11" i="6"/>
  <c r="D85" i="17"/>
  <c r="E85" i="17" s="1"/>
  <c r="M36" i="17"/>
  <c r="E99" i="17"/>
  <c r="C99" i="17"/>
  <c r="D34" i="18"/>
  <c r="C88" i="17"/>
  <c r="E88" i="17" s="1"/>
  <c r="M23" i="9"/>
  <c r="F8" i="18"/>
  <c r="H39" i="14"/>
  <c r="H22" i="9"/>
  <c r="H15" i="14"/>
  <c r="H10" i="9"/>
  <c r="F40" i="11"/>
  <c r="H12" i="14"/>
  <c r="H9" i="7"/>
  <c r="H17" i="12"/>
  <c r="I17" i="12" s="1"/>
  <c r="L19" i="17"/>
  <c r="E195" i="10"/>
  <c r="G23" i="14"/>
  <c r="G23" i="11"/>
  <c r="G13" i="9"/>
  <c r="M22" i="5"/>
  <c r="G21" i="11"/>
  <c r="I21" i="11" s="1"/>
  <c r="J21" i="11" s="1"/>
  <c r="G21" i="14"/>
  <c r="G13" i="7"/>
  <c r="M20" i="5"/>
  <c r="H7" i="6"/>
  <c r="G24" i="11"/>
  <c r="G24" i="14"/>
  <c r="M23" i="5"/>
  <c r="G14" i="9"/>
  <c r="G29" i="11"/>
  <c r="I29" i="11" s="1"/>
  <c r="J29" i="11" s="1"/>
  <c r="G29" i="14"/>
  <c r="G17" i="7"/>
  <c r="M28" i="5"/>
  <c r="H13" i="14"/>
  <c r="H9" i="9"/>
  <c r="H37" i="14"/>
  <c r="H20" i="9"/>
  <c r="D32" i="18"/>
  <c r="H6" i="12"/>
  <c r="I6" i="12" s="1"/>
  <c r="B17" i="17"/>
  <c r="D11" i="6"/>
  <c r="N20" i="5"/>
  <c r="G14" i="14"/>
  <c r="G14" i="11"/>
  <c r="I14" i="11" s="1"/>
  <c r="J14" i="11" s="1"/>
  <c r="F6" i="8"/>
  <c r="M13" i="5"/>
  <c r="I14" i="14" s="1"/>
  <c r="J14" i="14" s="1"/>
  <c r="G32" i="14"/>
  <c r="G32" i="11"/>
  <c r="G17" i="9"/>
  <c r="M31" i="5"/>
  <c r="G35" i="14"/>
  <c r="G35" i="11"/>
  <c r="I35" i="11" s="1"/>
  <c r="J35" i="11" s="1"/>
  <c r="M34" i="5"/>
  <c r="G19" i="7"/>
  <c r="N31" i="5"/>
  <c r="F188" i="10"/>
  <c r="L134" i="10"/>
  <c r="H134" i="10"/>
  <c r="E135" i="10" s="1"/>
  <c r="H8" i="14"/>
  <c r="H6" i="7"/>
  <c r="G22" i="14"/>
  <c r="G22" i="11"/>
  <c r="I22" i="11" s="1"/>
  <c r="J22" i="11" s="1"/>
  <c r="N21" i="5"/>
  <c r="G14" i="7"/>
  <c r="M21" i="5"/>
  <c r="E193" i="10"/>
  <c r="H7" i="14"/>
  <c r="H7" i="9"/>
  <c r="H34" i="14"/>
  <c r="H18" i="7"/>
  <c r="G12" i="14"/>
  <c r="G12" i="11"/>
  <c r="I12" i="11" s="1"/>
  <c r="J12" i="11" s="1"/>
  <c r="G9" i="7"/>
  <c r="M11" i="5"/>
  <c r="G33" i="14"/>
  <c r="G33" i="11"/>
  <c r="N32" i="5"/>
  <c r="M32" i="5"/>
  <c r="G18" i="9"/>
  <c r="H6" i="14"/>
  <c r="H6" i="9"/>
  <c r="K73" i="10"/>
  <c r="L73" i="10" s="1"/>
  <c r="H73" i="10"/>
  <c r="E74" i="10" s="1"/>
  <c r="H14" i="12"/>
  <c r="I14" i="12" s="1"/>
  <c r="F19" i="17"/>
  <c r="G10" i="14"/>
  <c r="G10" i="11"/>
  <c r="I10" i="11" s="1"/>
  <c r="J10" i="11" s="1"/>
  <c r="G7" i="7"/>
  <c r="N9" i="5"/>
  <c r="M9" i="5"/>
  <c r="G6" i="14"/>
  <c r="D16" i="16"/>
  <c r="C16" i="16"/>
  <c r="D37" i="18" s="1"/>
  <c r="G6" i="11"/>
  <c r="E9" i="18"/>
  <c r="F9" i="18" s="1"/>
  <c r="E16" i="16"/>
  <c r="M5" i="5"/>
  <c r="L39" i="5"/>
  <c r="G6" i="9"/>
  <c r="K6" i="6"/>
  <c r="K7" i="6"/>
  <c r="H6" i="6"/>
  <c r="K8" i="6"/>
  <c r="K10" i="6"/>
  <c r="Q39" i="5"/>
  <c r="K9" i="6"/>
  <c r="D12" i="17"/>
  <c r="B12" i="17"/>
  <c r="C95" i="17" s="1"/>
  <c r="J10" i="17"/>
  <c r="E196" i="10"/>
  <c r="H28" i="14"/>
  <c r="H16" i="7"/>
  <c r="H7" i="12"/>
  <c r="I7" i="12" s="1"/>
  <c r="D17" i="17"/>
  <c r="H27" i="12"/>
  <c r="I27" i="12"/>
  <c r="H23" i="17"/>
  <c r="C19" i="16"/>
  <c r="H20" i="12"/>
  <c r="I20" i="12" s="1"/>
  <c r="F21" i="17"/>
  <c r="G19" i="14"/>
  <c r="G19" i="11"/>
  <c r="I19" i="11" s="1"/>
  <c r="J19" i="11" s="1"/>
  <c r="M18" i="5"/>
  <c r="G11" i="7"/>
  <c r="G13" i="14"/>
  <c r="G13" i="11"/>
  <c r="G9" i="9"/>
  <c r="M12" i="5"/>
  <c r="I6" i="11"/>
  <c r="E194" i="10"/>
  <c r="E9" i="8"/>
  <c r="K6" i="8"/>
  <c r="K9" i="8" s="1"/>
  <c r="H13" i="12"/>
  <c r="I13" i="12" s="1"/>
  <c r="D19" i="17"/>
  <c r="D19" i="16"/>
  <c r="G26" i="14"/>
  <c r="G26" i="11"/>
  <c r="I26" i="11" s="1"/>
  <c r="J26" i="11" s="1"/>
  <c r="F7" i="8"/>
  <c r="M25" i="5"/>
  <c r="I26" i="14" s="1"/>
  <c r="J26" i="14" s="1"/>
  <c r="G15" i="14"/>
  <c r="G15" i="11"/>
  <c r="M14" i="5"/>
  <c r="G10" i="9"/>
  <c r="H23" i="12"/>
  <c r="I23" i="12" s="1"/>
  <c r="L21" i="17"/>
  <c r="H30" i="14"/>
  <c r="H15" i="9"/>
  <c r="F63" i="10"/>
  <c r="H10" i="10"/>
  <c r="J10" i="10"/>
  <c r="K10" i="10" s="1"/>
  <c r="C17" i="16"/>
  <c r="G9" i="14"/>
  <c r="G8" i="9"/>
  <c r="G9" i="11"/>
  <c r="M8" i="5"/>
  <c r="N8" i="5"/>
  <c r="G28" i="11"/>
  <c r="I28" i="11" s="1"/>
  <c r="J28" i="11" s="1"/>
  <c r="G28" i="14"/>
  <c r="H9" i="6"/>
  <c r="M27" i="5"/>
  <c r="G16" i="7"/>
  <c r="G11" i="14"/>
  <c r="G11" i="11"/>
  <c r="I11" i="11" s="1"/>
  <c r="J11" i="11" s="1"/>
  <c r="M10" i="5"/>
  <c r="G8" i="7"/>
  <c r="N10" i="5"/>
  <c r="H8" i="12"/>
  <c r="I8" i="12" s="1"/>
  <c r="F17" i="17"/>
  <c r="H23" i="14"/>
  <c r="H13" i="9"/>
  <c r="H11" i="12"/>
  <c r="I11" i="12" s="1"/>
  <c r="L17" i="17"/>
  <c r="H10" i="12"/>
  <c r="I10" i="12" s="1"/>
  <c r="J17" i="17"/>
  <c r="D17" i="16"/>
  <c r="G16" i="14"/>
  <c r="G16" i="11"/>
  <c r="M15" i="5"/>
  <c r="G11" i="9"/>
  <c r="N28" i="5"/>
  <c r="G18" i="14"/>
  <c r="G18" i="11"/>
  <c r="M17" i="5"/>
  <c r="G12" i="9"/>
  <c r="N17" i="5"/>
  <c r="G30" i="14"/>
  <c r="G30" i="11"/>
  <c r="M29" i="5"/>
  <c r="G15" i="9"/>
  <c r="G20" i="14"/>
  <c r="G20" i="11"/>
  <c r="I20" i="11" s="1"/>
  <c r="J20" i="11" s="1"/>
  <c r="M19" i="5"/>
  <c r="G12" i="7"/>
  <c r="N19" i="5"/>
  <c r="H26" i="12"/>
  <c r="I26" i="12" s="1"/>
  <c r="F23" i="17"/>
  <c r="H24" i="14"/>
  <c r="H14" i="9"/>
  <c r="H19" i="14"/>
  <c r="H11" i="7"/>
  <c r="H12" i="12"/>
  <c r="I12" i="12" s="1"/>
  <c r="B19" i="17"/>
  <c r="H18" i="12"/>
  <c r="I18" i="12" s="1"/>
  <c r="B21" i="17"/>
  <c r="G7" i="14"/>
  <c r="G7" i="11"/>
  <c r="G7" i="9"/>
  <c r="M6" i="5"/>
  <c r="F23" i="9"/>
  <c r="G25" i="14"/>
  <c r="G25" i="11"/>
  <c r="I25" i="11" s="1"/>
  <c r="J25" i="11" s="1"/>
  <c r="G15" i="7"/>
  <c r="M24" i="5"/>
  <c r="N24" i="5"/>
  <c r="G37" i="14"/>
  <c r="G37" i="11"/>
  <c r="G20" i="9"/>
  <c r="M36" i="5"/>
  <c r="G27" i="14"/>
  <c r="F8" i="8"/>
  <c r="M26" i="5"/>
  <c r="I27" i="14" s="1"/>
  <c r="J27" i="14" s="1"/>
  <c r="G27" i="11"/>
  <c r="I27" i="11" s="1"/>
  <c r="J27" i="11" s="1"/>
  <c r="H8" i="6"/>
  <c r="N26" i="5"/>
  <c r="H27" i="14" s="1"/>
  <c r="H24" i="12"/>
  <c r="I24" i="12" s="1"/>
  <c r="B23" i="17"/>
  <c r="E244" i="10"/>
  <c r="H22" i="12"/>
  <c r="I22" i="12" s="1"/>
  <c r="J21" i="17"/>
  <c r="E17" i="16"/>
  <c r="H21" i="12"/>
  <c r="I21" i="12" s="1"/>
  <c r="H21" i="17"/>
  <c r="G36" i="11"/>
  <c r="G36" i="14"/>
  <c r="G19" i="9"/>
  <c r="M35" i="5"/>
  <c r="N35" i="5"/>
  <c r="G8" i="11"/>
  <c r="I8" i="11" s="1"/>
  <c r="J8" i="11" s="1"/>
  <c r="G8" i="14"/>
  <c r="M7" i="5"/>
  <c r="G6" i="7"/>
  <c r="G31" i="14"/>
  <c r="G31" i="11"/>
  <c r="M30" i="5"/>
  <c r="G16" i="9"/>
  <c r="N30" i="5"/>
  <c r="H25" i="12"/>
  <c r="I25" i="12" s="1"/>
  <c r="D23" i="17"/>
  <c r="G39" i="14"/>
  <c r="G39" i="11"/>
  <c r="M38" i="5"/>
  <c r="G22" i="9"/>
  <c r="H35" i="14"/>
  <c r="H19" i="7"/>
  <c r="F40" i="14"/>
  <c r="E245" i="10"/>
  <c r="H16" i="14"/>
  <c r="H11" i="9"/>
  <c r="H16" i="12"/>
  <c r="I16" i="12" s="1"/>
  <c r="J19" i="17"/>
  <c r="H19" i="12"/>
  <c r="I19" i="12" s="1"/>
  <c r="D21" i="17"/>
  <c r="H29" i="12"/>
  <c r="I29" i="12"/>
  <c r="L23" i="17"/>
  <c r="G34" i="14"/>
  <c r="G34" i="11"/>
  <c r="I34" i="11" s="1"/>
  <c r="J34" i="11" s="1"/>
  <c r="H10" i="6"/>
  <c r="G18" i="7"/>
  <c r="M33" i="5"/>
  <c r="G17" i="11"/>
  <c r="I17" i="11" s="1"/>
  <c r="J17" i="11" s="1"/>
  <c r="G17" i="14"/>
  <c r="N16" i="5"/>
  <c r="M16" i="5"/>
  <c r="G10" i="7"/>
  <c r="G38" i="14"/>
  <c r="G38" i="11"/>
  <c r="G21" i="9"/>
  <c r="M37" i="5"/>
  <c r="N37" i="5"/>
  <c r="J7" i="6" l="1"/>
  <c r="Q7" i="6"/>
  <c r="J8" i="6"/>
  <c r="Q8" i="6"/>
  <c r="I6" i="6"/>
  <c r="Q6" i="6"/>
  <c r="J9" i="6"/>
  <c r="Q9" i="6"/>
  <c r="J10" i="6"/>
  <c r="Q10" i="6"/>
  <c r="I9" i="6"/>
  <c r="E7" i="18"/>
  <c r="F7" i="18" s="1"/>
  <c r="D82" i="17"/>
  <c r="E82" i="17" s="1"/>
  <c r="N39" i="5"/>
  <c r="I7" i="6"/>
  <c r="N30" i="17" a="1"/>
  <c r="N30" i="17" s="1"/>
  <c r="N29" i="17" a="1"/>
  <c r="N29" i="17" s="1"/>
  <c r="J32" i="17" a="1"/>
  <c r="J32" i="17" s="1"/>
  <c r="N28" i="17" a="1"/>
  <c r="N28" i="17" s="1"/>
  <c r="J31" i="17" a="1"/>
  <c r="J31" i="17" s="1"/>
  <c r="J29" i="17" a="1"/>
  <c r="J29" i="17" s="1"/>
  <c r="M32" i="17" a="1"/>
  <c r="M32" i="17" s="1"/>
  <c r="M31" i="17" a="1"/>
  <c r="M31" i="17" s="1"/>
  <c r="M30" i="17" a="1"/>
  <c r="M30" i="17" s="1"/>
  <c r="J28" i="17" a="1"/>
  <c r="J28" i="17" s="1"/>
  <c r="I32" i="17" a="1"/>
  <c r="I32" i="17" s="1"/>
  <c r="M29" i="17" a="1"/>
  <c r="M29" i="17" s="1"/>
  <c r="M28" i="17" a="1"/>
  <c r="M28" i="17" s="1"/>
  <c r="I31" i="17" a="1"/>
  <c r="I31" i="17" s="1"/>
  <c r="I30" i="17" a="1"/>
  <c r="I30" i="17" s="1"/>
  <c r="I29" i="17" a="1"/>
  <c r="I29" i="17" s="1"/>
  <c r="I28" i="17" a="1"/>
  <c r="I28" i="17" s="1"/>
  <c r="J30" i="17" a="1"/>
  <c r="J30" i="17" s="1"/>
  <c r="N32" i="17" a="1"/>
  <c r="N32" i="17" s="1"/>
  <c r="N31" i="17" a="1"/>
  <c r="N31" i="17" s="1"/>
  <c r="L29" i="17" a="1"/>
  <c r="L29" i="17" s="1"/>
  <c r="C94" i="17"/>
  <c r="E94" i="17"/>
  <c r="C97" i="17"/>
  <c r="E97" i="17" s="1"/>
  <c r="D86" i="17"/>
  <c r="E86" i="17" s="1"/>
  <c r="L30" i="17" a="1"/>
  <c r="L30" i="17" s="1"/>
  <c r="L31" i="17" a="1"/>
  <c r="L31" i="17" s="1"/>
  <c r="L32" i="17" a="1"/>
  <c r="L32" i="17" s="1"/>
  <c r="L28" i="17" a="1"/>
  <c r="L28" i="17" s="1"/>
  <c r="F193" i="10"/>
  <c r="L10" i="10"/>
  <c r="I9" i="14"/>
  <c r="J9" i="14" s="1"/>
  <c r="I8" i="9"/>
  <c r="I8" i="6"/>
  <c r="I49" i="11"/>
  <c r="I48" i="11"/>
  <c r="G40" i="11"/>
  <c r="D29" i="18" s="1"/>
  <c r="D36" i="18"/>
  <c r="I34" i="14"/>
  <c r="J34" i="14" s="1"/>
  <c r="I18" i="7"/>
  <c r="I18" i="14"/>
  <c r="J18" i="14" s="1"/>
  <c r="I12" i="9"/>
  <c r="I32" i="14"/>
  <c r="J32" i="14" s="1"/>
  <c r="I17" i="9"/>
  <c r="I21" i="14"/>
  <c r="J21" i="14" s="1"/>
  <c r="I13" i="7"/>
  <c r="H31" i="14"/>
  <c r="H16" i="9"/>
  <c r="I25" i="14"/>
  <c r="J25" i="14" s="1"/>
  <c r="I15" i="7"/>
  <c r="I11" i="14"/>
  <c r="J11" i="14" s="1"/>
  <c r="I8" i="7"/>
  <c r="G40" i="14"/>
  <c r="I40" i="14" s="1"/>
  <c r="I33" i="14"/>
  <c r="J33" i="14" s="1"/>
  <c r="I18" i="9"/>
  <c r="G37" i="12"/>
  <c r="G36" i="12"/>
  <c r="G35" i="12"/>
  <c r="G34" i="12"/>
  <c r="B27" i="17"/>
  <c r="B28" i="17"/>
  <c r="F27" i="17"/>
  <c r="D27" i="17"/>
  <c r="I40" i="11"/>
  <c r="H40" i="11"/>
  <c r="J6" i="11"/>
  <c r="D84" i="17" s="1"/>
  <c r="H20" i="14"/>
  <c r="H12" i="7"/>
  <c r="H36" i="14"/>
  <c r="H19" i="9"/>
  <c r="I38" i="14"/>
  <c r="J38" i="14" s="1"/>
  <c r="I21" i="9"/>
  <c r="J193" i="10"/>
  <c r="E11" i="10"/>
  <c r="H74" i="10"/>
  <c r="E75" i="10" s="1"/>
  <c r="K74" i="10"/>
  <c r="L74" i="10" s="1"/>
  <c r="I23" i="14"/>
  <c r="J23" i="14" s="1"/>
  <c r="I13" i="9"/>
  <c r="H38" i="14"/>
  <c r="H21" i="9"/>
  <c r="I10" i="14"/>
  <c r="J10" i="14" s="1"/>
  <c r="I7" i="7"/>
  <c r="H10" i="14"/>
  <c r="H7" i="7"/>
  <c r="H135" i="10"/>
  <c r="E136" i="10" s="1"/>
  <c r="K135" i="10"/>
  <c r="I29" i="14"/>
  <c r="J29" i="14" s="1"/>
  <c r="I17" i="7"/>
  <c r="I17" i="14"/>
  <c r="J17" i="14" s="1"/>
  <c r="I10" i="7"/>
  <c r="I16" i="14"/>
  <c r="J16" i="14" s="1"/>
  <c r="I11" i="9"/>
  <c r="I10" i="6"/>
  <c r="I13" i="14"/>
  <c r="J13" i="14" s="1"/>
  <c r="I9" i="9"/>
  <c r="H17" i="14"/>
  <c r="H10" i="7"/>
  <c r="B29" i="17"/>
  <c r="I28" i="14"/>
  <c r="J28" i="14" s="1"/>
  <c r="I16" i="7"/>
  <c r="G23" i="9"/>
  <c r="I23" i="9" s="1"/>
  <c r="I12" i="14"/>
  <c r="J12" i="14" s="1"/>
  <c r="I9" i="7"/>
  <c r="I22" i="14"/>
  <c r="J22" i="14" s="1"/>
  <c r="I14" i="7"/>
  <c r="F9" i="8"/>
  <c r="I37" i="14"/>
  <c r="J37" i="14" s="1"/>
  <c r="I20" i="9"/>
  <c r="I36" i="14"/>
  <c r="J36" i="14" s="1"/>
  <c r="I19" i="9"/>
  <c r="H11" i="14"/>
  <c r="H8" i="7"/>
  <c r="H25" i="14"/>
  <c r="H15" i="7"/>
  <c r="I20" i="14"/>
  <c r="J20" i="14" s="1"/>
  <c r="I12" i="7"/>
  <c r="H29" i="14"/>
  <c r="H17" i="7"/>
  <c r="G20" i="7"/>
  <c r="L20" i="7"/>
  <c r="G26" i="7" s="1"/>
  <c r="I7" i="14"/>
  <c r="J7" i="14" s="1"/>
  <c r="I7" i="9"/>
  <c r="I30" i="14"/>
  <c r="J30" i="14" s="1"/>
  <c r="I15" i="9"/>
  <c r="L10" i="17"/>
  <c r="P8" i="8"/>
  <c r="H188" i="10"/>
  <c r="Q8" i="8" s="1"/>
  <c r="I15" i="14"/>
  <c r="J15" i="14" s="1"/>
  <c r="I10" i="9"/>
  <c r="H11" i="6"/>
  <c r="J6" i="6"/>
  <c r="H33" i="14"/>
  <c r="H18" i="9"/>
  <c r="H193" i="10"/>
  <c r="H194" i="10" s="1"/>
  <c r="H195" i="10" s="1"/>
  <c r="H196" i="10" s="1"/>
  <c r="I39" i="14"/>
  <c r="J39" i="14" s="1"/>
  <c r="I22" i="9"/>
  <c r="I31" i="14"/>
  <c r="J31" i="14" s="1"/>
  <c r="I16" i="9"/>
  <c r="I8" i="14"/>
  <c r="J8" i="14" s="1"/>
  <c r="I6" i="7"/>
  <c r="I6" i="14"/>
  <c r="J6" i="14" s="1"/>
  <c r="I6" i="9"/>
  <c r="M39" i="5"/>
  <c r="H22" i="14"/>
  <c r="H14" i="7"/>
  <c r="H32" i="14"/>
  <c r="H17" i="9"/>
  <c r="H21" i="14"/>
  <c r="H13" i="7"/>
  <c r="I24" i="14"/>
  <c r="J24" i="14" s="1"/>
  <c r="I14" i="9"/>
  <c r="H18" i="14"/>
  <c r="H12" i="9"/>
  <c r="H9" i="14"/>
  <c r="H8" i="9"/>
  <c r="I19" i="14"/>
  <c r="J19" i="14" s="1"/>
  <c r="I11" i="7"/>
  <c r="I35" i="14"/>
  <c r="J35" i="14" s="1"/>
  <c r="I19" i="7"/>
  <c r="J11" i="6" l="1"/>
  <c r="Q11" i="6"/>
  <c r="H40" i="14"/>
  <c r="H20" i="7"/>
  <c r="G25" i="7" s="1"/>
  <c r="H23" i="9"/>
  <c r="I11" i="6"/>
  <c r="G24" i="7"/>
  <c r="I20" i="7"/>
  <c r="I46" i="11"/>
  <c r="I44" i="11"/>
  <c r="J40" i="11"/>
  <c r="C84" i="17" s="1"/>
  <c r="E84" i="17" s="1"/>
  <c r="C90" i="17" s="1"/>
  <c r="I45" i="11"/>
  <c r="H75" i="10"/>
  <c r="E76" i="10" s="1"/>
  <c r="K75" i="10"/>
  <c r="L75" i="10" s="1"/>
  <c r="K136" i="10"/>
  <c r="L136" i="10" s="1"/>
  <c r="H136" i="10"/>
  <c r="E137" i="10" s="1"/>
  <c r="K11" i="10"/>
  <c r="H11" i="10"/>
  <c r="K11" i="6"/>
  <c r="L135" i="10"/>
  <c r="E13" i="18"/>
  <c r="F13" i="18" s="1"/>
  <c r="G193" i="10"/>
  <c r="I193" i="10"/>
  <c r="E95" i="17" l="1"/>
  <c r="K76" i="10"/>
  <c r="G76" i="10"/>
  <c r="D35" i="18"/>
  <c r="I47" i="11"/>
  <c r="F12" i="17"/>
  <c r="F194" i="10"/>
  <c r="I194" i="10" s="1"/>
  <c r="L11" i="10"/>
  <c r="H137" i="10"/>
  <c r="E138" i="10" s="1"/>
  <c r="K137" i="10"/>
  <c r="L137" i="10" s="1"/>
  <c r="J194" i="10"/>
  <c r="E12" i="10"/>
  <c r="G194" i="10" l="1"/>
  <c r="L76" i="10"/>
  <c r="E197" i="10"/>
  <c r="H76" i="10"/>
  <c r="E77" i="10" s="1"/>
  <c r="K12" i="10"/>
  <c r="H12" i="10"/>
  <c r="H138" i="10"/>
  <c r="E139" i="10" s="1"/>
  <c r="K138" i="10"/>
  <c r="F195" i="10" l="1"/>
  <c r="L12" i="10"/>
  <c r="L138" i="10"/>
  <c r="K139" i="10"/>
  <c r="L139" i="10" s="1"/>
  <c r="H139" i="10"/>
  <c r="E140" i="10" s="1"/>
  <c r="J195" i="10"/>
  <c r="E13" i="10"/>
  <c r="K77" i="10"/>
  <c r="G77" i="10"/>
  <c r="H77" i="10" s="1"/>
  <c r="E78" i="10" s="1"/>
  <c r="C52" i="17"/>
  <c r="H197" i="10"/>
  <c r="E52" i="17" l="1"/>
  <c r="H140" i="10"/>
  <c r="E141" i="10" s="1"/>
  <c r="K140" i="10"/>
  <c r="L140" i="10" s="1"/>
  <c r="G195" i="10"/>
  <c r="I195" i="10"/>
  <c r="G78" i="10"/>
  <c r="K78" i="10"/>
  <c r="K13" i="10"/>
  <c r="H13" i="10"/>
  <c r="L77" i="10"/>
  <c r="E198" i="10"/>
  <c r="H198" i="10" s="1"/>
  <c r="L78" i="10" l="1"/>
  <c r="E199" i="10"/>
  <c r="H199" i="10" s="1"/>
  <c r="J196" i="10"/>
  <c r="E14" i="10"/>
  <c r="H141" i="10"/>
  <c r="E142" i="10" s="1"/>
  <c r="K141" i="10"/>
  <c r="L141" i="10" s="1"/>
  <c r="H78" i="10"/>
  <c r="E79" i="10" s="1"/>
  <c r="F196" i="10"/>
  <c r="L13" i="10"/>
  <c r="K142" i="10" l="1"/>
  <c r="L142" i="10" s="1"/>
  <c r="H142" i="10"/>
  <c r="E143" i="10" s="1"/>
  <c r="K14" i="10"/>
  <c r="H14" i="10"/>
  <c r="G196" i="10"/>
  <c r="K79" i="10"/>
  <c r="G79" i="10"/>
  <c r="H79" i="10" s="1"/>
  <c r="E80" i="10" s="1"/>
  <c r="I196" i="10"/>
  <c r="K80" i="10" l="1"/>
  <c r="G80" i="10"/>
  <c r="L80" i="10" s="1"/>
  <c r="F197" i="10"/>
  <c r="I197" i="10" s="1"/>
  <c r="L14" i="10"/>
  <c r="K143" i="10"/>
  <c r="L143" i="10" s="1"/>
  <c r="H143" i="10"/>
  <c r="E144" i="10" s="1"/>
  <c r="L79" i="10"/>
  <c r="E200" i="10"/>
  <c r="J197" i="10"/>
  <c r="E15" i="10"/>
  <c r="F126" i="10" l="1"/>
  <c r="H80" i="10"/>
  <c r="E81" i="10" s="1"/>
  <c r="G81" i="10"/>
  <c r="K81" i="10"/>
  <c r="H200" i="10"/>
  <c r="K144" i="10"/>
  <c r="G144" i="10"/>
  <c r="G197" i="10"/>
  <c r="K15" i="10"/>
  <c r="H15" i="10"/>
  <c r="H126" i="10" l="1"/>
  <c r="Q7" i="8" s="1"/>
  <c r="P7" i="8"/>
  <c r="F198" i="10"/>
  <c r="I198" i="10" s="1"/>
  <c r="L15" i="10"/>
  <c r="G198" i="10" s="1"/>
  <c r="J198" i="10"/>
  <c r="E16" i="10"/>
  <c r="L81" i="10"/>
  <c r="H81" i="10"/>
  <c r="E82" i="10" s="1"/>
  <c r="L144" i="10"/>
  <c r="H144" i="10"/>
  <c r="E145" i="10" s="1"/>
  <c r="E12" i="18" l="1"/>
  <c r="F12" i="18" s="1"/>
  <c r="K16" i="10"/>
  <c r="H16" i="10"/>
  <c r="K82" i="10"/>
  <c r="G82" i="10"/>
  <c r="K145" i="10"/>
  <c r="G145" i="10"/>
  <c r="L82" i="10" l="1"/>
  <c r="J199" i="10"/>
  <c r="E17" i="10"/>
  <c r="L145" i="10"/>
  <c r="H145" i="10"/>
  <c r="E146" i="10" s="1"/>
  <c r="H82" i="10"/>
  <c r="E83" i="10" s="1"/>
  <c r="F199" i="10"/>
  <c r="I199" i="10" s="1"/>
  <c r="L16" i="10"/>
  <c r="G199" i="10" s="1"/>
  <c r="K83" i="10" l="1"/>
  <c r="G83" i="10"/>
  <c r="H83" i="10" s="1"/>
  <c r="E84" i="10" s="1"/>
  <c r="K146" i="10"/>
  <c r="G146" i="10"/>
  <c r="K17" i="10"/>
  <c r="H17" i="10"/>
  <c r="F200" i="10" l="1"/>
  <c r="I200" i="10" s="1"/>
  <c r="L17" i="10"/>
  <c r="G200" i="10" s="1"/>
  <c r="G84" i="10"/>
  <c r="K84" i="10"/>
  <c r="J200" i="10"/>
  <c r="E18" i="10"/>
  <c r="L83" i="10"/>
  <c r="L146" i="10"/>
  <c r="H146" i="10"/>
  <c r="E147" i="10" s="1"/>
  <c r="L84" i="10" l="1"/>
  <c r="K147" i="10"/>
  <c r="G147" i="10"/>
  <c r="H147" i="10" s="1"/>
  <c r="E148" i="10" s="1"/>
  <c r="K18" i="10"/>
  <c r="F201" i="10" s="1"/>
  <c r="I201" i="10" s="1"/>
  <c r="G18" i="10"/>
  <c r="H84" i="10"/>
  <c r="E85" i="10" s="1"/>
  <c r="E201" i="10" l="1"/>
  <c r="L18" i="10"/>
  <c r="G201" i="10" s="1"/>
  <c r="F64" i="10"/>
  <c r="H18" i="10"/>
  <c r="K148" i="10"/>
  <c r="G148" i="10"/>
  <c r="K85" i="10"/>
  <c r="G85" i="10"/>
  <c r="L147" i="10"/>
  <c r="L148" i="10" l="1"/>
  <c r="L85" i="10"/>
  <c r="P6" i="8"/>
  <c r="P9" i="8" s="1"/>
  <c r="H64" i="10"/>
  <c r="Q6" i="8" s="1"/>
  <c r="Q9" i="8" s="1"/>
  <c r="H148" i="10"/>
  <c r="E149" i="10" s="1"/>
  <c r="J201" i="10"/>
  <c r="E19" i="10"/>
  <c r="H85" i="10"/>
  <c r="E86" i="10" s="1"/>
  <c r="C53" i="17"/>
  <c r="H201" i="10"/>
  <c r="E53" i="17" l="1"/>
  <c r="K86" i="10"/>
  <c r="G86" i="10"/>
  <c r="H86" i="10" s="1"/>
  <c r="E87" i="10" s="1"/>
  <c r="K19" i="10"/>
  <c r="F202" i="10" s="1"/>
  <c r="G19" i="10"/>
  <c r="H19" i="10" s="1"/>
  <c r="K149" i="10"/>
  <c r="G149" i="10"/>
  <c r="L149" i="10" s="1"/>
  <c r="E11" i="18"/>
  <c r="F11" i="18" s="1"/>
  <c r="J202" i="10" l="1"/>
  <c r="E20" i="10"/>
  <c r="G87" i="10"/>
  <c r="K87" i="10"/>
  <c r="D24" i="18"/>
  <c r="D25" i="18"/>
  <c r="H149" i="10"/>
  <c r="E150" i="10" s="1"/>
  <c r="E36" i="17"/>
  <c r="I202" i="10"/>
  <c r="L86" i="10"/>
  <c r="E202" i="10"/>
  <c r="L19" i="10"/>
  <c r="G202" i="10" s="1"/>
  <c r="L87" i="10" l="1"/>
  <c r="K150" i="10"/>
  <c r="G150" i="10"/>
  <c r="H87" i="10"/>
  <c r="E88" i="10" s="1"/>
  <c r="K20" i="10"/>
  <c r="F203" i="10" s="1"/>
  <c r="E37" i="17" s="1"/>
  <c r="G20" i="10"/>
  <c r="H20" i="10" s="1"/>
  <c r="D36" i="17"/>
  <c r="F36" i="17" s="1"/>
  <c r="H202" i="10"/>
  <c r="L150" i="10" l="1"/>
  <c r="J203" i="10"/>
  <c r="E21" i="10"/>
  <c r="E203" i="10"/>
  <c r="L20" i="10"/>
  <c r="G203" i="10" s="1"/>
  <c r="K88" i="10"/>
  <c r="G88" i="10"/>
  <c r="H150" i="10"/>
  <c r="E151" i="10" s="1"/>
  <c r="I203" i="10"/>
  <c r="L88" i="10" l="1"/>
  <c r="H88" i="10"/>
  <c r="E89" i="10" s="1"/>
  <c r="K151" i="10"/>
  <c r="G151" i="10"/>
  <c r="L151" i="10" s="1"/>
  <c r="D37" i="17"/>
  <c r="F37" i="17" s="1"/>
  <c r="K21" i="10"/>
  <c r="F204" i="10" s="1"/>
  <c r="E38" i="17" s="1"/>
  <c r="G21" i="10"/>
  <c r="H203" i="10"/>
  <c r="E204" i="10" l="1"/>
  <c r="L21" i="10"/>
  <c r="G204" i="10" s="1"/>
  <c r="H21" i="10"/>
  <c r="I204" i="10"/>
  <c r="H151" i="10"/>
  <c r="E152" i="10" s="1"/>
  <c r="G89" i="10"/>
  <c r="K89" i="10"/>
  <c r="L89" i="10" l="1"/>
  <c r="H204" i="10"/>
  <c r="H89" i="10"/>
  <c r="E90" i="10" s="1"/>
  <c r="J204" i="10"/>
  <c r="E22" i="10"/>
  <c r="K152" i="10"/>
  <c r="G152" i="10"/>
  <c r="D38" i="17"/>
  <c r="F38" i="17" s="1"/>
  <c r="L152" i="10" l="1"/>
  <c r="H152" i="10"/>
  <c r="E153" i="10" s="1"/>
  <c r="K22" i="10"/>
  <c r="F205" i="10" s="1"/>
  <c r="G22" i="10"/>
  <c r="H22" i="10" s="1"/>
  <c r="G90" i="10"/>
  <c r="H90" i="10" s="1"/>
  <c r="E91" i="10" s="1"/>
  <c r="K90" i="10"/>
  <c r="K91" i="10" l="1"/>
  <c r="G91" i="10"/>
  <c r="J205" i="10"/>
  <c r="E23" i="10"/>
  <c r="L90" i="10"/>
  <c r="E205" i="10"/>
  <c r="L22" i="10"/>
  <c r="G205" i="10" s="1"/>
  <c r="E39" i="17"/>
  <c r="I205" i="10"/>
  <c r="K153" i="10"/>
  <c r="G153" i="10"/>
  <c r="H153" i="10" s="1"/>
  <c r="E154" i="10" s="1"/>
  <c r="K23" i="10" l="1"/>
  <c r="F206" i="10" s="1"/>
  <c r="I206" i="10" s="1"/>
  <c r="G23" i="10"/>
  <c r="K154" i="10"/>
  <c r="G154" i="10"/>
  <c r="L91" i="10"/>
  <c r="D39" i="17"/>
  <c r="F39" i="17" s="1"/>
  <c r="H205" i="10"/>
  <c r="C54" i="17"/>
  <c r="E96" i="17" s="1"/>
  <c r="L153" i="10"/>
  <c r="H91" i="10"/>
  <c r="E92" i="10" s="1"/>
  <c r="L154" i="10" l="1"/>
  <c r="E54" i="17"/>
  <c r="E206" i="10"/>
  <c r="L23" i="10"/>
  <c r="G206" i="10" s="1"/>
  <c r="H206" i="10"/>
  <c r="H23" i="10"/>
  <c r="H154" i="10"/>
  <c r="E155" i="10" s="1"/>
  <c r="G92" i="10"/>
  <c r="K92" i="10"/>
  <c r="J206" i="10" l="1"/>
  <c r="E24" i="10"/>
  <c r="L92" i="10"/>
  <c r="E213" i="10"/>
  <c r="H92" i="10"/>
  <c r="E93" i="10" s="1"/>
  <c r="K155" i="10"/>
  <c r="G155" i="10"/>
  <c r="L155" i="10" l="1"/>
  <c r="K24" i="10"/>
  <c r="F207" i="10" s="1"/>
  <c r="I207" i="10" s="1"/>
  <c r="G24" i="10"/>
  <c r="H155" i="10"/>
  <c r="E156" i="10" s="1"/>
  <c r="G93" i="10"/>
  <c r="K93" i="10"/>
  <c r="K156" i="10" l="1"/>
  <c r="G156" i="10"/>
  <c r="L156" i="10" s="1"/>
  <c r="E207" i="10"/>
  <c r="L24" i="10"/>
  <c r="G207" i="10" s="1"/>
  <c r="L93" i="10"/>
  <c r="E214" i="10"/>
  <c r="H93" i="10"/>
  <c r="E94" i="10" s="1"/>
  <c r="H24" i="10"/>
  <c r="K94" i="10" l="1"/>
  <c r="G94" i="10"/>
  <c r="J207" i="10"/>
  <c r="E25" i="10"/>
  <c r="H207" i="10"/>
  <c r="H156" i="10"/>
  <c r="E157" i="10" s="1"/>
  <c r="K157" i="10" l="1"/>
  <c r="G157" i="10"/>
  <c r="H157" i="10" s="1"/>
  <c r="E158" i="10" s="1"/>
  <c r="K25" i="10"/>
  <c r="F208" i="10" s="1"/>
  <c r="I208" i="10" s="1"/>
  <c r="G25" i="10"/>
  <c r="L94" i="10"/>
  <c r="E215" i="10"/>
  <c r="H94" i="10"/>
  <c r="E95" i="10" s="1"/>
  <c r="H158" i="10" l="1"/>
  <c r="E159" i="10" s="1"/>
  <c r="K158" i="10"/>
  <c r="G158" i="10"/>
  <c r="E208" i="10"/>
  <c r="L25" i="10"/>
  <c r="G208" i="10" s="1"/>
  <c r="H25" i="10"/>
  <c r="G95" i="10"/>
  <c r="K95" i="10"/>
  <c r="L157" i="10"/>
  <c r="K159" i="10" l="1"/>
  <c r="G159" i="10"/>
  <c r="H159" i="10" s="1"/>
  <c r="E160" i="10" s="1"/>
  <c r="L95" i="10"/>
  <c r="E216" i="10"/>
  <c r="H95" i="10"/>
  <c r="E96" i="10" s="1"/>
  <c r="J208" i="10"/>
  <c r="E26" i="10"/>
  <c r="H208" i="10"/>
  <c r="L158" i="10"/>
  <c r="G96" i="10" l="1"/>
  <c r="H96" i="10" s="1"/>
  <c r="E97" i="10" s="1"/>
  <c r="K96" i="10"/>
  <c r="K160" i="10"/>
  <c r="G160" i="10"/>
  <c r="H160" i="10" s="1"/>
  <c r="E161" i="10" s="1"/>
  <c r="K26" i="10"/>
  <c r="F209" i="10" s="1"/>
  <c r="I209" i="10" s="1"/>
  <c r="G26" i="10"/>
  <c r="L159" i="10"/>
  <c r="L160" i="10" l="1"/>
  <c r="E209" i="10"/>
  <c r="L26" i="10"/>
  <c r="G209" i="10" s="1"/>
  <c r="K161" i="10"/>
  <c r="G161" i="10"/>
  <c r="K97" i="10"/>
  <c r="G97" i="10"/>
  <c r="H97" i="10" s="1"/>
  <c r="E98" i="10" s="1"/>
  <c r="H26" i="10"/>
  <c r="L96" i="10"/>
  <c r="E217" i="10"/>
  <c r="L161" i="10" l="1"/>
  <c r="G98" i="10"/>
  <c r="K98" i="10"/>
  <c r="J209" i="10"/>
  <c r="E27" i="10"/>
  <c r="C55" i="17"/>
  <c r="H209" i="10"/>
  <c r="H161" i="10"/>
  <c r="E162" i="10" s="1"/>
  <c r="L97" i="10"/>
  <c r="E218" i="10"/>
  <c r="L98" i="10" l="1"/>
  <c r="E219" i="10"/>
  <c r="H98" i="10"/>
  <c r="E99" i="10" s="1"/>
  <c r="K162" i="10"/>
  <c r="G162" i="10"/>
  <c r="L162" i="10" s="1"/>
  <c r="K27" i="10"/>
  <c r="F210" i="10" s="1"/>
  <c r="I210" i="10" s="1"/>
  <c r="G27" i="10"/>
  <c r="H27" i="10" s="1"/>
  <c r="E55" i="17"/>
  <c r="J210" i="10" l="1"/>
  <c r="E28" i="10"/>
  <c r="E210" i="10"/>
  <c r="L27" i="10"/>
  <c r="G210" i="10" s="1"/>
  <c r="H162" i="10"/>
  <c r="E163" i="10" s="1"/>
  <c r="G99" i="10"/>
  <c r="K99" i="10"/>
  <c r="K28" i="10" l="1"/>
  <c r="F211" i="10" s="1"/>
  <c r="I211" i="10" s="1"/>
  <c r="G28" i="10"/>
  <c r="H28" i="10" s="1"/>
  <c r="K163" i="10"/>
  <c r="G163" i="10"/>
  <c r="L99" i="10"/>
  <c r="E220" i="10"/>
  <c r="H99" i="10"/>
  <c r="E100" i="10" s="1"/>
  <c r="H210" i="10"/>
  <c r="L163" i="10" l="1"/>
  <c r="K100" i="10"/>
  <c r="G100" i="10"/>
  <c r="H163" i="10"/>
  <c r="E164" i="10" s="1"/>
  <c r="E211" i="10"/>
  <c r="L28" i="10"/>
  <c r="G211" i="10" s="1"/>
  <c r="J211" i="10"/>
  <c r="E29" i="10"/>
  <c r="K29" i="10" l="1"/>
  <c r="F212" i="10" s="1"/>
  <c r="I212" i="10" s="1"/>
  <c r="G29" i="10"/>
  <c r="H29" i="10" s="1"/>
  <c r="L100" i="10"/>
  <c r="E221" i="10"/>
  <c r="C58" i="17" s="1"/>
  <c r="E58" i="17" s="1"/>
  <c r="K164" i="10"/>
  <c r="G164" i="10"/>
  <c r="H211" i="10"/>
  <c r="H100" i="10"/>
  <c r="E101" i="10" s="1"/>
  <c r="L164" i="10" l="1"/>
  <c r="G101" i="10"/>
  <c r="K101" i="10"/>
  <c r="H164" i="10"/>
  <c r="E165" i="10" s="1"/>
  <c r="E212" i="10"/>
  <c r="C56" i="17" s="1"/>
  <c r="L29" i="10"/>
  <c r="G212" i="10" s="1"/>
  <c r="G63" i="10"/>
  <c r="O6" i="8"/>
  <c r="J212" i="10"/>
  <c r="E30" i="10"/>
  <c r="E56" i="17" l="1"/>
  <c r="K30" i="10"/>
  <c r="H30" i="10"/>
  <c r="K165" i="10"/>
  <c r="G165" i="10"/>
  <c r="L165" i="10" s="1"/>
  <c r="L101" i="10"/>
  <c r="E222" i="10"/>
  <c r="H101" i="10"/>
  <c r="E102" i="10" s="1"/>
  <c r="H212" i="10"/>
  <c r="H213" i="10" s="1"/>
  <c r="H214" i="10" s="1"/>
  <c r="H215" i="10" s="1"/>
  <c r="H216" i="10" s="1"/>
  <c r="H217" i="10" s="1"/>
  <c r="H218" i="10" s="1"/>
  <c r="H219" i="10" s="1"/>
  <c r="H220" i="10" s="1"/>
  <c r="H221" i="10" s="1"/>
  <c r="H222" i="10" s="1"/>
  <c r="J213" i="10" l="1"/>
  <c r="E31" i="10"/>
  <c r="H165" i="10"/>
  <c r="E166" i="10" s="1"/>
  <c r="F213" i="10"/>
  <c r="I213" i="10" s="1"/>
  <c r="L30" i="10"/>
  <c r="G213" i="10" s="1"/>
  <c r="G102" i="10"/>
  <c r="H102" i="10" s="1"/>
  <c r="E103" i="10" s="1"/>
  <c r="K102" i="10"/>
  <c r="K103" i="10" l="1"/>
  <c r="G103" i="10"/>
  <c r="L102" i="10"/>
  <c r="E223" i="10"/>
  <c r="K166" i="10"/>
  <c r="G166" i="10"/>
  <c r="K31" i="10"/>
  <c r="H31" i="10"/>
  <c r="L166" i="10" l="1"/>
  <c r="F214" i="10"/>
  <c r="I214" i="10" s="1"/>
  <c r="L31" i="10"/>
  <c r="G214" i="10" s="1"/>
  <c r="H223" i="10"/>
  <c r="J214" i="10"/>
  <c r="E32" i="10"/>
  <c r="L103" i="10"/>
  <c r="E224" i="10"/>
  <c r="H103" i="10"/>
  <c r="E104" i="10" s="1"/>
  <c r="H166" i="10"/>
  <c r="E167" i="10" s="1"/>
  <c r="K167" i="10" l="1"/>
  <c r="G167" i="10"/>
  <c r="G104" i="10"/>
  <c r="K104" i="10"/>
  <c r="K32" i="10"/>
  <c r="H32" i="10"/>
  <c r="H224" i="10"/>
  <c r="L167" i="10" l="1"/>
  <c r="F215" i="10"/>
  <c r="I215" i="10" s="1"/>
  <c r="L32" i="10"/>
  <c r="G215" i="10" s="1"/>
  <c r="H167" i="10"/>
  <c r="E168" i="10" s="1"/>
  <c r="J215" i="10"/>
  <c r="E33" i="10"/>
  <c r="L104" i="10"/>
  <c r="E225" i="10"/>
  <c r="C59" i="17" s="1"/>
  <c r="E59" i="17" s="1"/>
  <c r="H104" i="10"/>
  <c r="E105" i="10" s="1"/>
  <c r="K33" i="10" l="1"/>
  <c r="H33" i="10"/>
  <c r="G105" i="10"/>
  <c r="H105" i="10" s="1"/>
  <c r="E106" i="10" s="1"/>
  <c r="K105" i="10"/>
  <c r="K168" i="10"/>
  <c r="G168" i="10"/>
  <c r="H225" i="10"/>
  <c r="L168" i="10" l="1"/>
  <c r="K106" i="10"/>
  <c r="G106" i="10"/>
  <c r="J216" i="10"/>
  <c r="E34" i="10"/>
  <c r="H168" i="10"/>
  <c r="E169" i="10" s="1"/>
  <c r="L105" i="10"/>
  <c r="E226" i="10"/>
  <c r="F216" i="10"/>
  <c r="I216" i="10" s="1"/>
  <c r="L33" i="10"/>
  <c r="G216" i="10" s="1"/>
  <c r="L106" i="10" l="1"/>
  <c r="E227" i="10"/>
  <c r="K169" i="10"/>
  <c r="G169" i="10"/>
  <c r="H226" i="10"/>
  <c r="H227" i="10" s="1"/>
  <c r="H34" i="10"/>
  <c r="K34" i="10"/>
  <c r="H106" i="10"/>
  <c r="E107" i="10" s="1"/>
  <c r="L169" i="10" l="1"/>
  <c r="J217" i="10"/>
  <c r="E35" i="10"/>
  <c r="G107" i="10"/>
  <c r="K107" i="10"/>
  <c r="H169" i="10"/>
  <c r="E170" i="10" s="1"/>
  <c r="F217" i="10"/>
  <c r="I217" i="10" s="1"/>
  <c r="L34" i="10"/>
  <c r="G217" i="10" s="1"/>
  <c r="K170" i="10" l="1"/>
  <c r="G170" i="10"/>
  <c r="K35" i="10"/>
  <c r="H35" i="10"/>
  <c r="L107" i="10"/>
  <c r="E228" i="10"/>
  <c r="H107" i="10"/>
  <c r="E108" i="10" s="1"/>
  <c r="L170" i="10" l="1"/>
  <c r="G108" i="10"/>
  <c r="K108" i="10"/>
  <c r="H228" i="10"/>
  <c r="J218" i="10"/>
  <c r="E36" i="10"/>
  <c r="F218" i="10"/>
  <c r="I218" i="10" s="1"/>
  <c r="L35" i="10"/>
  <c r="G218" i="10" s="1"/>
  <c r="H170" i="10"/>
  <c r="E171" i="10" s="1"/>
  <c r="K171" i="10" l="1"/>
  <c r="G171" i="10"/>
  <c r="H171" i="10" s="1"/>
  <c r="E172" i="10" s="1"/>
  <c r="H36" i="10"/>
  <c r="K36" i="10"/>
  <c r="L108" i="10"/>
  <c r="E229" i="10"/>
  <c r="C60" i="17" s="1"/>
  <c r="E60" i="17" s="1"/>
  <c r="H108" i="10"/>
  <c r="E109" i="10" s="1"/>
  <c r="K172" i="10" l="1"/>
  <c r="L172" i="10" s="1"/>
  <c r="H172" i="10"/>
  <c r="E173" i="10" s="1"/>
  <c r="F219" i="10"/>
  <c r="I219" i="10" s="1"/>
  <c r="L36" i="10"/>
  <c r="G219" i="10" s="1"/>
  <c r="K109" i="10"/>
  <c r="G109" i="10"/>
  <c r="H109" i="10" s="1"/>
  <c r="E110" i="10" s="1"/>
  <c r="H229" i="10"/>
  <c r="J219" i="10"/>
  <c r="E37" i="10"/>
  <c r="L171" i="10"/>
  <c r="G187" i="10"/>
  <c r="O8" i="8"/>
  <c r="G110" i="10" l="1"/>
  <c r="K110" i="10"/>
  <c r="K37" i="10"/>
  <c r="H37" i="10"/>
  <c r="L109" i="10"/>
  <c r="E230" i="10"/>
  <c r="H230" i="10" s="1"/>
  <c r="K173" i="10"/>
  <c r="L173" i="10" s="1"/>
  <c r="H173" i="10"/>
  <c r="E174" i="10" s="1"/>
  <c r="J220" i="10" l="1"/>
  <c r="E38" i="10"/>
  <c r="K174" i="10"/>
  <c r="L174" i="10" s="1"/>
  <c r="H174" i="10"/>
  <c r="E175" i="10" s="1"/>
  <c r="F220" i="10"/>
  <c r="I220" i="10" s="1"/>
  <c r="L37" i="10"/>
  <c r="G220" i="10" s="1"/>
  <c r="L110" i="10"/>
  <c r="E231" i="10"/>
  <c r="H231" i="10" s="1"/>
  <c r="H110" i="10"/>
  <c r="E111" i="10" s="1"/>
  <c r="G111" i="10" l="1"/>
  <c r="K111" i="10"/>
  <c r="K175" i="10"/>
  <c r="L175" i="10" s="1"/>
  <c r="H175" i="10"/>
  <c r="E176" i="10" s="1"/>
  <c r="K38" i="10"/>
  <c r="H38" i="10"/>
  <c r="J221" i="10" l="1"/>
  <c r="E39" i="10"/>
  <c r="F221" i="10"/>
  <c r="I221" i="10" s="1"/>
  <c r="L38" i="10"/>
  <c r="G221" i="10" s="1"/>
  <c r="K176" i="10"/>
  <c r="L176" i="10" s="1"/>
  <c r="H176" i="10"/>
  <c r="E177" i="10" s="1"/>
  <c r="L111" i="10"/>
  <c r="E232" i="10"/>
  <c r="H111" i="10"/>
  <c r="E112" i="10" s="1"/>
  <c r="K112" i="10" l="1"/>
  <c r="G112" i="10"/>
  <c r="H112" i="10" s="1"/>
  <c r="E113" i="10" s="1"/>
  <c r="H232" i="10"/>
  <c r="K177" i="10"/>
  <c r="L177" i="10" s="1"/>
  <c r="H177" i="10"/>
  <c r="E178" i="10" s="1"/>
  <c r="K39" i="10"/>
  <c r="H39" i="10"/>
  <c r="G113" i="10" l="1"/>
  <c r="K113" i="10"/>
  <c r="J222" i="10"/>
  <c r="E40" i="10"/>
  <c r="F222" i="10"/>
  <c r="I222" i="10" s="1"/>
  <c r="L39" i="10"/>
  <c r="G222" i="10" s="1"/>
  <c r="K178" i="10"/>
  <c r="L178" i="10" s="1"/>
  <c r="H178" i="10"/>
  <c r="E179" i="10" s="1"/>
  <c r="L112" i="10"/>
  <c r="E233" i="10"/>
  <c r="C61" i="17" s="1"/>
  <c r="E61" i="17" s="1"/>
  <c r="H179" i="10" l="1"/>
  <c r="E180" i="10" s="1"/>
  <c r="K179" i="10"/>
  <c r="L179" i="10" s="1"/>
  <c r="H233" i="10"/>
  <c r="K40" i="10"/>
  <c r="H40" i="10"/>
  <c r="L113" i="10"/>
  <c r="E234" i="10"/>
  <c r="H113" i="10"/>
  <c r="E114" i="10" s="1"/>
  <c r="G114" i="10" l="1"/>
  <c r="K114" i="10"/>
  <c r="H234" i="10"/>
  <c r="J223" i="10"/>
  <c r="E41" i="10"/>
  <c r="F223" i="10"/>
  <c r="I223" i="10" s="1"/>
  <c r="L40" i="10"/>
  <c r="G223" i="10" s="1"/>
  <c r="K180" i="10"/>
  <c r="L180" i="10" s="1"/>
  <c r="H180" i="10"/>
  <c r="E181" i="10" s="1"/>
  <c r="K181" i="10" l="1"/>
  <c r="L181" i="10" s="1"/>
  <c r="H181" i="10"/>
  <c r="E182" i="10" s="1"/>
  <c r="K41" i="10"/>
  <c r="H41" i="10"/>
  <c r="L114" i="10"/>
  <c r="E235" i="10"/>
  <c r="H235" i="10"/>
  <c r="H114" i="10"/>
  <c r="E115" i="10" s="1"/>
  <c r="K115" i="10" l="1"/>
  <c r="G115" i="10"/>
  <c r="H115" i="10" s="1"/>
  <c r="E116" i="10" s="1"/>
  <c r="J224" i="10"/>
  <c r="E42" i="10"/>
  <c r="F224" i="10"/>
  <c r="I224" i="10" s="1"/>
  <c r="L41" i="10"/>
  <c r="G224" i="10" s="1"/>
  <c r="H182" i="10"/>
  <c r="E183" i="10" s="1"/>
  <c r="K182" i="10"/>
  <c r="L182" i="10" s="1"/>
  <c r="K116" i="10" l="1"/>
  <c r="G116" i="10"/>
  <c r="H116" i="10" s="1"/>
  <c r="E117" i="10" s="1"/>
  <c r="H183" i="10"/>
  <c r="E184" i="10" s="1"/>
  <c r="K183" i="10"/>
  <c r="L183" i="10" s="1"/>
  <c r="K42" i="10"/>
  <c r="H42" i="10"/>
  <c r="L115" i="10"/>
  <c r="E236" i="10"/>
  <c r="G117" i="10" l="1"/>
  <c r="K117" i="10"/>
  <c r="F225" i="10"/>
  <c r="I225" i="10" s="1"/>
  <c r="L42" i="10"/>
  <c r="G225" i="10" s="1"/>
  <c r="H184" i="10"/>
  <c r="E185" i="10" s="1"/>
  <c r="K184" i="10"/>
  <c r="L184" i="10" s="1"/>
  <c r="H236" i="10"/>
  <c r="C62" i="17"/>
  <c r="E62" i="17" s="1"/>
  <c r="J225" i="10"/>
  <c r="E43" i="10"/>
  <c r="L116" i="10"/>
  <c r="E237" i="10"/>
  <c r="H237" i="10" l="1"/>
  <c r="K43" i="10"/>
  <c r="H43" i="10"/>
  <c r="L117" i="10"/>
  <c r="E238" i="10"/>
  <c r="H185" i="10"/>
  <c r="E186" i="10" s="1"/>
  <c r="K185" i="10"/>
  <c r="L185" i="10" s="1"/>
  <c r="H117" i="10"/>
  <c r="E118" i="10" s="1"/>
  <c r="K118" i="10" l="1"/>
  <c r="G118" i="10"/>
  <c r="K186" i="10"/>
  <c r="H186" i="10"/>
  <c r="H238" i="10"/>
  <c r="J226" i="10"/>
  <c r="E44" i="10"/>
  <c r="F226" i="10"/>
  <c r="I226" i="10" s="1"/>
  <c r="L43" i="10"/>
  <c r="G226" i="10" s="1"/>
  <c r="L186" i="10" l="1"/>
  <c r="L187" i="10" s="1"/>
  <c r="K187" i="10"/>
  <c r="H44" i="10"/>
  <c r="K44" i="10"/>
  <c r="L118" i="10"/>
  <c r="E239" i="10"/>
  <c r="H118" i="10"/>
  <c r="E119" i="10" s="1"/>
  <c r="K119" i="10" l="1"/>
  <c r="G119" i="10"/>
  <c r="H119" i="10" s="1"/>
  <c r="E120" i="10" s="1"/>
  <c r="J227" i="10"/>
  <c r="E45" i="10"/>
  <c r="H239" i="10"/>
  <c r="F227" i="10"/>
  <c r="I227" i="10" s="1"/>
  <c r="L44" i="10"/>
  <c r="G227" i="10" s="1"/>
  <c r="G120" i="10" l="1"/>
  <c r="K120" i="10"/>
  <c r="K45" i="10"/>
  <c r="H45" i="10"/>
  <c r="L119" i="10"/>
  <c r="E240" i="10"/>
  <c r="H240" i="10" s="1"/>
  <c r="J228" i="10" l="1"/>
  <c r="E46" i="10"/>
  <c r="C63" i="17"/>
  <c r="E63" i="17" s="1"/>
  <c r="F228" i="10"/>
  <c r="I228" i="10" s="1"/>
  <c r="L45" i="10"/>
  <c r="G228" i="10" s="1"/>
  <c r="L120" i="10"/>
  <c r="E241" i="10"/>
  <c r="H241" i="10" s="1"/>
  <c r="H120" i="10"/>
  <c r="E121" i="10" s="1"/>
  <c r="K121" i="10" l="1"/>
  <c r="G121" i="10"/>
  <c r="K46" i="10"/>
  <c r="H46" i="10"/>
  <c r="L121" i="10" l="1"/>
  <c r="E242" i="10"/>
  <c r="H121" i="10"/>
  <c r="E122" i="10" s="1"/>
  <c r="J229" i="10"/>
  <c r="E47" i="10"/>
  <c r="F229" i="10"/>
  <c r="I229" i="10" s="1"/>
  <c r="L46" i="10"/>
  <c r="G229" i="10" s="1"/>
  <c r="K47" i="10" l="1"/>
  <c r="H47" i="10"/>
  <c r="K122" i="10"/>
  <c r="G122" i="10"/>
  <c r="H122" i="10" s="1"/>
  <c r="E123" i="10" s="1"/>
  <c r="H242" i="10"/>
  <c r="H123" i="10" l="1"/>
  <c r="E124" i="10" s="1"/>
  <c r="K123" i="10"/>
  <c r="L123" i="10" s="1"/>
  <c r="J230" i="10"/>
  <c r="E48" i="10"/>
  <c r="L122" i="10"/>
  <c r="E243" i="10"/>
  <c r="G125" i="10"/>
  <c r="O7" i="8"/>
  <c r="F230" i="10"/>
  <c r="I230" i="10" s="1"/>
  <c r="L47" i="10"/>
  <c r="G230" i="10" s="1"/>
  <c r="H243" i="10" l="1"/>
  <c r="H244" i="10" s="1"/>
  <c r="H245" i="10" s="1"/>
  <c r="C96" i="17"/>
  <c r="K48" i="10"/>
  <c r="H48" i="10"/>
  <c r="D31" i="18"/>
  <c r="E246" i="10"/>
  <c r="C57" i="17"/>
  <c r="E57" i="17" s="1"/>
  <c r="C64" i="17"/>
  <c r="K124" i="10"/>
  <c r="H124" i="10"/>
  <c r="L124" i="10" l="1"/>
  <c r="L125" i="10" s="1"/>
  <c r="K125" i="10"/>
  <c r="E64" i="17"/>
  <c r="C65" i="17"/>
  <c r="J231" i="10"/>
  <c r="E49" i="10"/>
  <c r="F231" i="10"/>
  <c r="I231" i="10" s="1"/>
  <c r="L48" i="10"/>
  <c r="G231" i="10" s="1"/>
  <c r="K49" i="10" l="1"/>
  <c r="H49" i="10"/>
  <c r="J232" i="10" l="1"/>
  <c r="E50" i="10"/>
  <c r="F232" i="10"/>
  <c r="I232" i="10" s="1"/>
  <c r="L49" i="10"/>
  <c r="G232" i="10" s="1"/>
  <c r="K50" i="10" l="1"/>
  <c r="H50" i="10"/>
  <c r="J233" i="10" l="1"/>
  <c r="E51" i="10"/>
  <c r="F233" i="10"/>
  <c r="I233" i="10" s="1"/>
  <c r="L50" i="10"/>
  <c r="G233" i="10" s="1"/>
  <c r="K51" i="10" l="1"/>
  <c r="H51" i="10"/>
  <c r="J234" i="10" l="1"/>
  <c r="E52" i="10"/>
  <c r="F234" i="10"/>
  <c r="I234" i="10" s="1"/>
  <c r="L51" i="10"/>
  <c r="G234" i="10" s="1"/>
  <c r="K52" i="10" l="1"/>
  <c r="H52" i="10"/>
  <c r="F235" i="10" l="1"/>
  <c r="I235" i="10" s="1"/>
  <c r="L52" i="10"/>
  <c r="G235" i="10" s="1"/>
  <c r="J235" i="10"/>
  <c r="E53" i="10"/>
  <c r="H53" i="10" l="1"/>
  <c r="K53" i="10"/>
  <c r="F236" i="10" l="1"/>
  <c r="I236" i="10" s="1"/>
  <c r="L53" i="10"/>
  <c r="G236" i="10" s="1"/>
  <c r="E54" i="10"/>
  <c r="J236" i="10"/>
  <c r="K54" i="10" l="1"/>
  <c r="H54" i="10"/>
  <c r="J237" i="10" l="1"/>
  <c r="E55" i="10"/>
  <c r="F237" i="10"/>
  <c r="I237" i="10" s="1"/>
  <c r="L54" i="10"/>
  <c r="G237" i="10" s="1"/>
  <c r="K55" i="10" l="1"/>
  <c r="H55" i="10"/>
  <c r="J238" i="10" l="1"/>
  <c r="E56" i="10"/>
  <c r="F238" i="10"/>
  <c r="I238" i="10" s="1"/>
  <c r="L55" i="10"/>
  <c r="G238" i="10" s="1"/>
  <c r="K56" i="10" l="1"/>
  <c r="H56" i="10"/>
  <c r="J239" i="10" l="1"/>
  <c r="E57" i="10"/>
  <c r="F239" i="10"/>
  <c r="I239" i="10" s="1"/>
  <c r="L56" i="10"/>
  <c r="G239" i="10" s="1"/>
  <c r="K57" i="10" l="1"/>
  <c r="H57" i="10"/>
  <c r="J240" i="10" l="1"/>
  <c r="E58" i="10"/>
  <c r="F240" i="10"/>
  <c r="I240" i="10" s="1"/>
  <c r="L57" i="10"/>
  <c r="G240" i="10" s="1"/>
  <c r="K58" i="10" l="1"/>
  <c r="H58" i="10"/>
  <c r="J241" i="10" l="1"/>
  <c r="E59" i="10"/>
  <c r="F241" i="10"/>
  <c r="I241" i="10" s="1"/>
  <c r="L58" i="10"/>
  <c r="G241" i="10" s="1"/>
  <c r="K59" i="10" l="1"/>
  <c r="H59" i="10"/>
  <c r="J242" i="10" l="1"/>
  <c r="E60" i="10"/>
  <c r="F242" i="10"/>
  <c r="I242" i="10" s="1"/>
  <c r="L59" i="10"/>
  <c r="G242" i="10" s="1"/>
  <c r="K60" i="10" l="1"/>
  <c r="H60" i="10"/>
  <c r="J243" i="10" l="1"/>
  <c r="E61" i="10"/>
  <c r="F243" i="10"/>
  <c r="I243" i="10" s="1"/>
  <c r="L60" i="10"/>
  <c r="G243" i="10" s="1"/>
  <c r="K61" i="10" l="1"/>
  <c r="H61" i="10"/>
  <c r="J244" i="10" l="1"/>
  <c r="E62" i="10"/>
  <c r="F244" i="10"/>
  <c r="I244" i="10" s="1"/>
  <c r="L61" i="10"/>
  <c r="G244" i="10" s="1"/>
  <c r="H62" i="10" l="1"/>
  <c r="J245" i="10" s="1"/>
  <c r="K62" i="10"/>
  <c r="F245" i="10" l="1"/>
  <c r="L62" i="10"/>
  <c r="K63" i="10"/>
  <c r="F246" i="10" l="1"/>
  <c r="I245" i="10"/>
  <c r="G245" i="10"/>
  <c r="G246" i="10" s="1"/>
  <c r="L6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tc={607C5BA9-C2D4-46C1-AC32-82F1D30A6F3E}</author>
    <author>tc={5409E430-A389-46A9-B3E4-B79CDBE269CE}</author>
    <author>tc={9DA556DC-8F73-4E3B-8269-3B942DFB69A2}</author>
    <author>tc={0D72FC1A-083D-4E67-9DFB-AE9FEA2D82DA}</author>
  </authors>
  <commentList>
    <comment ref="C7" authorId="0" shapeId="0" xr:uid="{00000000-0006-0000-0200-000001000000}">
      <text>
        <r>
          <rPr>
            <sz val="10"/>
            <rFont val="Arial"/>
            <family val="2"/>
          </rPr>
          <t>Live rate as of Apr 21 2026 (Indian Rupee weakened ~9% YoY due to Iran war / oil spike).
Source: tradingeconomics.com / investing.com / NSE USDINR futures
Previous value was ₹86 (implied from RBL 27-Mar-2025 sanction letter: USD 20M capped at INR 172 Cr).
INR has weakened ~9% YoY due to Iran war and crude oil spike above $100/bbl.</t>
        </r>
      </text>
    </comment>
    <comment ref="C13" authorId="0" shapeId="0" xr:uid="{00000000-0006-0000-0200-000002000000}">
      <text>
        <r>
          <rPr>
            <sz val="10"/>
            <rFont val="Arial"/>
            <family val="2"/>
          </rPr>
          <t>3M T-Bill yield, Apr 17 2026
Source: tradingeconomics.com (India 3-Month Bond Yield)</t>
        </r>
      </text>
    </comment>
    <comment ref="C14" authorId="0" shapeId="0" xr:uid="{00000000-0006-0000-0200-000003000000}">
      <text>
        <r>
          <rPr>
            <sz val="10"/>
            <rFont val="Arial"/>
            <family val="2"/>
          </rPr>
          <t>RBI Policy Repo Rate, unchanged in Apr 8 2026 MPC
Source: RBI Monetary Policy Statement, Apr 8 2026</t>
        </r>
      </text>
    </comment>
    <comment ref="C15" authorId="0" shapeId="0" xr:uid="{00000000-0006-0000-0200-000004000000}">
      <text>
        <r>
          <rPr>
            <sz val="10"/>
            <rFont val="Arial"/>
            <family val="2"/>
          </rPr>
          <t>RBL Bank 1Y MCLR, ~9.00% approx Apr 2026
Source: Business Today article Apr 2026 (referenced RBL/YBL MCLR ~9.00%)</t>
        </r>
      </text>
    </comment>
    <comment ref="C16" authorId="0" shapeId="0" xr:uid="{00000000-0006-0000-0200-000005000000}">
      <text>
        <r>
          <rPr>
            <sz val="10"/>
            <rFont val="Arial"/>
            <family val="2"/>
          </rPr>
          <t>YES Bank 3M MCLR, ~9.00% approx Apr 2026
Source: Business Today article Apr 2026 (referenced RBL/YBL MCLR ~9.00%)</t>
        </r>
      </text>
    </comment>
    <comment ref="C17" authorId="0" shapeId="0" xr:uid="{00000000-0006-0000-0200-000006000000}">
      <text>
        <r>
          <rPr>
            <sz val="10"/>
            <rFont val="Arial"/>
            <family val="2"/>
          </rPr>
          <t>ICICI Bank 6M I-MCLR, effective Jan 22 2026
Source: mymoneymantra.com / codeforbanks.com (ICICI Bank MCLR page)</t>
        </r>
      </text>
    </comment>
    <comment ref="C18" authorId="0" shapeId="0" xr:uid="{00000000-0006-0000-0200-000007000000}">
      <text>
        <r>
          <rPr>
            <sz val="10"/>
            <rFont val="Arial"/>
            <family val="2"/>
          </rPr>
          <t>SIB 12M MCLR (at 21-Jun-2025 sanction; update for latest)
Source: SIB sanction letter 21-Jun-2025 (pre-filled; update from southindianbank.com)</t>
        </r>
      </text>
    </comment>
    <comment ref="C19" authorId="0" shapeId="0" xr:uid="{00000000-0006-0000-0200-000008000000}">
      <text>
        <r>
          <rPr>
            <sz val="10"/>
            <rFont val="Arial"/>
            <family val="2"/>
          </rPr>
          <t>Bajaj Floating Reference Rate (at 18-Aug-2025 sanction)
Source: Bajaj sanction letter 18-Aug-2025 (pre-filled; update from bajajfinserv.in)</t>
        </r>
      </text>
    </comment>
    <comment ref="C20" authorId="0" shapeId="0" xr:uid="{00000000-0006-0000-0200-000009000000}">
      <text>
        <r>
          <rPr>
            <sz val="10"/>
            <rFont val="Arial"/>
            <family val="2"/>
          </rPr>
          <t>Term SOFR 3M, approx. (O/N SOFR 3.67% Apr 16 2026 + term premium)
Source: sofrrate.com (overnight SOFR); 3M Term SOFR slightly higher</t>
        </r>
      </text>
    </comment>
    <comment ref="C21" authorId="0" shapeId="0" xr:uid="{00000000-0006-0000-0200-00000A000000}">
      <text>
        <r>
          <rPr>
            <sz val="10"/>
            <rFont val="Arial"/>
            <family val="2"/>
          </rPr>
          <t>Named range: BMK_FD_RATE</t>
        </r>
      </text>
    </comment>
    <comment ref="C36" authorId="0" shapeId="0" xr:uid="{00000000-0006-0000-0200-00000B000000}">
      <text>
        <r>
          <rPr>
            <sz val="10"/>
            <rFont val="Arial"/>
            <family val="2"/>
          </rPr>
          <t>LONG-TERM RATING: CARE A+; Stable
SHORT-TERM RATING: CARE A1
Source: CARE Ratings Ltd. Press Release dated 5-Apr-2024
URL: careratings.com/upload/CompanyFiles/PR/202404150454_Jindal_Coke_Limited.pdf
Rating reaffirmed since 10-May-2022 (upgraded from A- on that date).
History: BBB (Sep-2020) → A- (Jul-2021) → A+ (May-2022) → A+ (Apr-2023, reaffirmed) → A+ (Apr-2024, reaffirmed).
Meets RBL covenant (min A-): YES (A+ is 2 notches above minimum)
Meets YBL covenant (min A-/A1): YES (A+ exceeds A-, A1 matches A1)
Confirm with CFO if 2025/2026 rating letter has been received — annual reaffirmation typically due around Apr-2025 / Apr-2026.</t>
        </r>
      </text>
    </comment>
    <comment ref="D36" authorId="0" shapeId="0" xr:uid="{00000000-0006-0000-0200-00000D000000}">
      <text>
        <r>
          <rPr>
            <sz val="10"/>
            <rFont val="Arial"/>
            <family val="2"/>
          </rPr>
          <t>As per CARE Ratings press release 5-Apr-2024.
Reaffirmed at A+ since May-2022 — applies throughout FY24A.</t>
        </r>
      </text>
    </comment>
    <comment ref="E36" authorId="0" shapeId="0" xr:uid="{00000000-0006-0000-0200-00000F000000}">
      <text>
        <r>
          <rPr>
            <sz val="10"/>
            <rFont val="Arial"/>
            <family val="2"/>
          </rPr>
          <t>Projected same rating through FY26E assuming continued strong operating performance. Post-Apr-2024 expanded capacity + Ratan Jindal group strength supports at least reaffirmation. Upgrade possible if TD/PBILDT &lt; 2.0x (CARE's positive trigger).
Obtain latest rating letter from JCL CFO to replace this estimate with actual.</t>
        </r>
      </text>
    </comment>
    <comment ref="C37" authorId="0" shapeId="0" xr:uid="{00000000-0006-0000-0200-00000C000000}">
      <text>
        <r>
          <rPr>
            <sz val="10"/>
            <rFont val="Arial"/>
            <family val="2"/>
          </rPr>
          <t>PROMOTER SHAREHOLDING: 100%
Breakdown (per CARE Ratings press release dated 5-Apr-2024):
• 74% — JSL Overseas Limited (Ratan Jindal group entity)
• 26% — Jindal Stainless Limited (JSL) — also Ratan Jindal group
Per Kallanish / SteelOrbis news (April 2024), JSL was to divest its residual 26% stake by September 2024. Post-divestment, the 26% would shift to other Ratan Jindal group entities (notably JSL Overseas), but TOTAL promoter group shareholding remains 100%.
Sources:
• careratings.com/upload/CompanyFiles/PR/202404150454_Jindal_Coke_Limited.pdf
• kallanish.com/en/news/steel/market-reports/article-details/jindal-stainless-to-divest-stake-in-jindal-coke
• steelorbis.com/steel-news/latest-news/indias-jsl-to-exit-subsidiary-jindal-coke-limited-1335068
Confirm current holding pattern with JCL company secretary via MCA filing.</t>
        </r>
      </text>
    </comment>
    <comment ref="D37" authorId="0" shapeId="0" xr:uid="{00000000-0006-0000-0200-00000E000000}">
      <text>
        <r>
          <rPr>
            <sz val="10"/>
            <rFont val="Arial"/>
            <family val="2"/>
          </rPr>
          <t>Comment: Not captured in valuation model. Promoter: Mr. Ratan Jindal. Source required from MCA filing by JCL Model</t>
        </r>
      </text>
    </comment>
    <comment ref="E37" authorId="0" shapeId="0" xr:uid="{00000000-0006-0000-0200-000010000000}">
      <text>
        <r>
          <rPr>
            <sz val="10"/>
            <rFont val="Arial"/>
            <family val="2"/>
          </rPr>
          <t>Comment: Not captured in valuation model. Promoter: Mr. Ratan Jindal. Source required from MCA filing by JCL Model</t>
        </r>
      </text>
    </comment>
    <comment ref="B38" authorId="1" shapeId="0" xr:uid="{607C5BA9-C2D4-46C1-AC32-82F1D30A6F3E}">
      <text>
        <t>[Threaded comment]
Your version of Excel allows you to read this threaded comment; however, any edits to it will get removed if the file is opened in a newer version of Excel. Learn more: https://go.microsoft.com/fwlink/?linkid=870924
Comment:
    ⚠ SCOPE: This figure (₹170.07 Cr) includes scheduled term-loan repayments AND short-term debt rollover (buyers credit, WCDL bullets). DO NOT USE in DSCR denominator — use FIN_SCHED_REPAY (₹41.09 Cr) for covenant calculations. This row is retained for lender reporting and aggregate principal tracking only.</t>
      </text>
    </comment>
    <comment ref="C38" authorId="2" shapeId="0" xr:uid="{5409E430-A389-46A9-B3E4-B79CDBE269CE}">
      <text>
        <t>[Threaded comment]
Your version of Excel allows you to read this threaded comment; however, any edits to it will get removed if the file is opened in a newer version of Excel. Learn more: https://go.microsoft.com/fwlink/?linkid=870924
Comment:
    Includes: Canara residual + new TL instalments + SBLC/BC bullets. For scheduled TL repayment only, see row 40: FIN_SCHED_REPAY.</t>
      </text>
    </comment>
    <comment ref="B39" authorId="3" shapeId="0" xr:uid="{9DA556DC-8F73-4E3B-8269-3B942DFB69A2}">
      <text>
        <t>[Threaded comment]
Your version of Excel allows you to read this threaded comment; however, any edits to it will get removed if the file is opened in a newer version of Excel. Learn more: https://go.microsoft.com/fwlink/?linkid=870924
Comment:
    Source: Mentor's KFI tab + Ratios R23-R27 (FY26E).
FY26E PBT≈₹312.78 Cr × 25.17% = ₹78.69 Cr theoretical; actual tax paid (cash basis) ₹69.36 Cr per Ratios.
Update quarterly from latest standalone P&amp;L.</t>
      </text>
    </comment>
    <comment ref="B40" authorId="4" shapeId="0" xr:uid="{0D72FC1A-083D-4E67-9DFB-AE9FEA2D82DA}">
      <text>
        <t>[Threaded comment]
Your version of Excel allows you to read this threaded comment; however, any edits to it will get removed if the file is opened in a newer version of Excel. Learn more: https://go.microsoft.com/fwlink/?linkid=870924
Comment:
    Source: Mentor's Ratios tab R17+R25 FY26E.
Canara final repayment (₹17.44 Cr) + new YBL TL quarterly (4×₹5.91 Cr approx = ₹23.65 Cr) = ₹41.09 Cr. Excludes short-term debt rollover.
Update each quarter from the Repayment Schedule tab consolidated total.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5" authorId="0" shapeId="0" xr:uid="{00000000-0006-0000-0400-000001000000}">
      <text>
        <r>
          <rPr>
            <sz val="10"/>
            <rFont val="Arial"/>
            <family val="2"/>
          </rPr>
          <t>Comment: Populate with latest outstanding. Leave blank to use Utilisation toggle. by JCL Model</t>
        </r>
      </text>
    </comment>
    <comment ref="K6" authorId="0" shapeId="0" xr:uid="{00000000-0006-0000-0400-000002000000}">
      <text>
        <r>
          <rPr>
            <sz val="10"/>
            <rFont val="Arial"/>
            <family val="2"/>
          </rPr>
          <t>Comment: Populate with latest outstanding. Leave blank to use Utilisation toggle. by JCL Model</t>
        </r>
      </text>
    </comment>
    <comment ref="K7" authorId="0" shapeId="0" xr:uid="{00000000-0006-0000-0400-000003000000}">
      <text>
        <r>
          <rPr>
            <sz val="10"/>
            <rFont val="Arial"/>
            <family val="2"/>
          </rPr>
          <t>Comment: Populate with latest outstanding. Leave blank to use Utilisation toggle. by JCL Model</t>
        </r>
      </text>
    </comment>
    <comment ref="Q7" authorId="0" shapeId="0" xr:uid="{00000000-0006-0000-0400-000023000000}">
      <text>
        <r>
          <rPr>
            <sz val="10"/>
            <rFont val="Arial"/>
            <family val="2"/>
          </rPr>
          <t>Comment: Sanction letter says 'to be decided'. Enter contracted rate once known. by JCL Model</t>
        </r>
      </text>
    </comment>
    <comment ref="K8" authorId="0" shapeId="0" xr:uid="{00000000-0006-0000-0400-000004000000}">
      <text>
        <r>
          <rPr>
            <sz val="10"/>
            <rFont val="Arial"/>
            <family val="2"/>
          </rPr>
          <t>Comment: Populate with latest outstanding. Leave blank to use Utilisation toggle. by JCL Model</t>
        </r>
      </text>
    </comment>
    <comment ref="Q8" authorId="0" shapeId="0" xr:uid="{00000000-0006-0000-0400-000024000000}">
      <text>
        <r>
          <rPr>
            <sz val="10"/>
            <rFont val="Arial"/>
            <family val="2"/>
          </rPr>
          <t>Comment: Sanction letter says 'to be decided'. Enter contracted rate once known. by JCL Model</t>
        </r>
      </text>
    </comment>
    <comment ref="K9" authorId="0" shapeId="0" xr:uid="{00000000-0006-0000-0400-000005000000}">
      <text>
        <r>
          <rPr>
            <sz val="10"/>
            <rFont val="Arial"/>
            <family val="2"/>
          </rPr>
          <t>Comment: Populate with latest outstanding. Leave blank to use Utilisation toggle. by JCL Model</t>
        </r>
      </text>
    </comment>
    <comment ref="Q9" authorId="0" shapeId="0" xr:uid="{00000000-0006-0000-0400-000025000000}">
      <text>
        <r>
          <rPr>
            <sz val="10"/>
            <rFont val="Arial"/>
            <family val="2"/>
          </rPr>
          <t>Comment: Sanction letter says 'to be decided'. Enter contracted rate once known. by JCL Model</t>
        </r>
      </text>
    </comment>
    <comment ref="K10" authorId="0" shapeId="0" xr:uid="{00000000-0006-0000-0400-000006000000}">
      <text>
        <r>
          <rPr>
            <sz val="10"/>
            <rFont val="Arial"/>
            <family val="2"/>
          </rPr>
          <t>Comment: Populate with latest outstanding. Leave blank to use Utilisation toggle. by JCL Model</t>
        </r>
      </text>
    </comment>
    <comment ref="Q10" authorId="0" shapeId="0" xr:uid="{00000000-0006-0000-0400-000026000000}">
      <text>
        <r>
          <rPr>
            <sz val="10"/>
            <rFont val="Arial"/>
            <family val="2"/>
          </rPr>
          <t>Comment: Sanction letter says 'to be decided'. Enter contracted rate once known. by JCL Model</t>
        </r>
      </text>
    </comment>
    <comment ref="K11" authorId="0" shapeId="0" xr:uid="{00000000-0006-0000-0400-000007000000}">
      <text>
        <r>
          <rPr>
            <sz val="10"/>
            <rFont val="Arial"/>
            <family val="2"/>
          </rPr>
          <t>Comment: Populate with latest outstanding. Leave blank to use Utilisation toggle. by JCL Model</t>
        </r>
      </text>
    </comment>
    <comment ref="Q11" authorId="0" shapeId="0" xr:uid="{00000000-0006-0000-0400-000027000000}">
      <text>
        <r>
          <rPr>
            <sz val="10"/>
            <rFont val="Arial"/>
            <family val="2"/>
          </rPr>
          <t>Comment: Sanction letter says 'to be decided'. Enter contracted rate once known. by JCL Model</t>
        </r>
      </text>
    </comment>
    <comment ref="K12" authorId="0" shapeId="0" xr:uid="{00000000-0006-0000-0400-000008000000}">
      <text>
        <r>
          <rPr>
            <sz val="10"/>
            <rFont val="Arial"/>
            <family val="2"/>
          </rPr>
          <t>Comment: Populate with latest outstanding. Leave blank to use Utilisation toggle. by JCL Model</t>
        </r>
      </text>
    </comment>
    <comment ref="Q12" authorId="0" shapeId="0" xr:uid="{00000000-0006-0000-0400-000028000000}">
      <text>
        <r>
          <rPr>
            <sz val="10"/>
            <rFont val="Arial"/>
            <family val="2"/>
          </rPr>
          <t>Comment: Sanction letter says 'to be decided'. Enter contracted rate once known. by JCL Model</t>
        </r>
      </text>
    </comment>
    <comment ref="K13" authorId="0" shapeId="0" xr:uid="{00000000-0006-0000-0400-000009000000}">
      <text>
        <r>
          <rPr>
            <sz val="10"/>
            <rFont val="Arial"/>
            <family val="2"/>
          </rPr>
          <t>Comment: Populate with latest outstanding. Leave blank to use Utilisation toggle. by JCL Model</t>
        </r>
      </text>
    </comment>
    <comment ref="Q13" authorId="0" shapeId="0" xr:uid="{00000000-0006-0000-0400-000029000000}">
      <text>
        <r>
          <rPr>
            <sz val="10"/>
            <rFont val="Arial"/>
            <family val="2"/>
          </rPr>
          <t>Comment: Sanction letter says 'to be decided'. Enter contracted rate once known. by JCL Model</t>
        </r>
      </text>
    </comment>
    <comment ref="K14" authorId="0" shapeId="0" xr:uid="{00000000-0006-0000-0400-00000A000000}">
      <text>
        <r>
          <rPr>
            <sz val="10"/>
            <rFont val="Arial"/>
            <family val="2"/>
          </rPr>
          <t>Comment: Populate with latest outstanding. Leave blank to use Utilisation toggle. by JCL Model</t>
        </r>
      </text>
    </comment>
    <comment ref="K15" authorId="0" shapeId="0" xr:uid="{00000000-0006-0000-0400-00000B000000}">
      <text>
        <r>
          <rPr>
            <sz val="10"/>
            <rFont val="Arial"/>
            <family val="2"/>
          </rPr>
          <t>Comment: Populate with latest outstanding. Leave blank to use Utilisation toggle. by JCL Model</t>
        </r>
      </text>
    </comment>
    <comment ref="K16" authorId="0" shapeId="0" xr:uid="{00000000-0006-0000-0400-00000C000000}">
      <text>
        <r>
          <rPr>
            <sz val="10"/>
            <rFont val="Arial"/>
            <family val="2"/>
          </rPr>
          <t>Comment: Populate with latest outstanding. Leave blank to use Utilisation toggle. by JCL Model</t>
        </r>
      </text>
    </comment>
    <comment ref="Q16" authorId="0" shapeId="0" xr:uid="{00000000-0006-0000-0400-00002A000000}">
      <text>
        <r>
          <rPr>
            <sz val="10"/>
            <rFont val="Arial"/>
            <family val="2"/>
          </rPr>
          <t>Comment: Sanction letter says 'to be decided'. Enter contracted rate once known. by JCL Model</t>
        </r>
      </text>
    </comment>
    <comment ref="K17" authorId="0" shapeId="0" xr:uid="{00000000-0006-0000-0400-00000D000000}">
      <text>
        <r>
          <rPr>
            <sz val="10"/>
            <rFont val="Arial"/>
            <family val="2"/>
          </rPr>
          <t>Comment: Populate with latest outstanding. Leave blank to use Utilisation toggle. by JCL Model</t>
        </r>
      </text>
    </comment>
    <comment ref="Q17" authorId="0" shapeId="0" xr:uid="{00000000-0006-0000-0400-00002B000000}">
      <text>
        <r>
          <rPr>
            <sz val="10"/>
            <rFont val="Arial"/>
            <family val="2"/>
          </rPr>
          <t>Comment: Sanction letter says 'to be decided'. Enter contracted rate once known. by JCL Model</t>
        </r>
      </text>
    </comment>
    <comment ref="K18" authorId="0" shapeId="0" xr:uid="{00000000-0006-0000-0400-00000E000000}">
      <text>
        <r>
          <rPr>
            <sz val="10"/>
            <rFont val="Arial"/>
            <family val="2"/>
          </rPr>
          <t>Comment: Populate with latest outstanding. Leave blank to use Utilisation toggle. by JCL Model</t>
        </r>
      </text>
    </comment>
    <comment ref="Q18" authorId="0" shapeId="0" xr:uid="{00000000-0006-0000-0400-00002C000000}">
      <text>
        <r>
          <rPr>
            <sz val="10"/>
            <rFont val="Arial"/>
            <family val="2"/>
          </rPr>
          <t>Comment: Sanction letter says 'to be decided'. Enter contracted rate once known. by JCL Model</t>
        </r>
      </text>
    </comment>
    <comment ref="K19" authorId="0" shapeId="0" xr:uid="{00000000-0006-0000-0400-00000F000000}">
      <text>
        <r>
          <rPr>
            <sz val="10"/>
            <rFont val="Arial"/>
            <family val="2"/>
          </rPr>
          <t>Comment: Populate with latest outstanding. Leave blank to use Utilisation toggle. by JCL Model</t>
        </r>
      </text>
    </comment>
    <comment ref="Q19" authorId="0" shapeId="0" xr:uid="{00000000-0006-0000-0400-00002D000000}">
      <text>
        <r>
          <rPr>
            <sz val="10"/>
            <rFont val="Arial"/>
            <family val="2"/>
          </rPr>
          <t>Comment: Sanction letter says 'to be decided'. Enter contracted rate once known. by JCL Model</t>
        </r>
      </text>
    </comment>
    <comment ref="K20" authorId="0" shapeId="0" xr:uid="{00000000-0006-0000-0400-000010000000}">
      <text>
        <r>
          <rPr>
            <sz val="10"/>
            <rFont val="Arial"/>
            <family val="2"/>
          </rPr>
          <t>Comment: Populate with latest outstanding. Leave blank to use Utilisation toggle. by JCL Model</t>
        </r>
      </text>
    </comment>
    <comment ref="Q20" authorId="0" shapeId="0" xr:uid="{00000000-0006-0000-0400-00002E000000}">
      <text>
        <r>
          <rPr>
            <sz val="10"/>
            <rFont val="Arial"/>
            <family val="2"/>
          </rPr>
          <t>Comment: Sanction letter says 'to be decided'. Enter contracted rate once known. by JCL Model</t>
        </r>
      </text>
    </comment>
    <comment ref="K21" authorId="0" shapeId="0" xr:uid="{00000000-0006-0000-0400-000011000000}">
      <text>
        <r>
          <rPr>
            <sz val="10"/>
            <rFont val="Arial"/>
            <family val="2"/>
          </rPr>
          <t>Comment: Populate with latest outstanding. Leave blank to use Utilisation toggle. by JCL Model</t>
        </r>
      </text>
    </comment>
    <comment ref="Q21" authorId="0" shapeId="0" xr:uid="{00000000-0006-0000-0400-00002F000000}">
      <text>
        <r>
          <rPr>
            <sz val="10"/>
            <rFont val="Arial"/>
            <family val="2"/>
          </rPr>
          <t>Comment: Sanction letter says 'to be decided'. Enter contracted rate once known. by JCL Model</t>
        </r>
      </text>
    </comment>
    <comment ref="K22" authorId="0" shapeId="0" xr:uid="{00000000-0006-0000-0400-000012000000}">
      <text>
        <r>
          <rPr>
            <sz val="10"/>
            <rFont val="Arial"/>
            <family val="2"/>
          </rPr>
          <t>Comment: Populate with latest outstanding. Leave blank to use Utilisation toggle. by JCL Model</t>
        </r>
      </text>
    </comment>
    <comment ref="Q22" authorId="0" shapeId="0" xr:uid="{00000000-0006-0000-0400-000030000000}">
      <text>
        <r>
          <rPr>
            <sz val="10"/>
            <rFont val="Arial"/>
            <family val="2"/>
          </rPr>
          <t>Comment: Sanction letter says 'to be decided'. Enter contracted rate once known. by JCL Model</t>
        </r>
      </text>
    </comment>
    <comment ref="K23" authorId="0" shapeId="0" xr:uid="{00000000-0006-0000-0400-000013000000}">
      <text>
        <r>
          <rPr>
            <sz val="10"/>
            <rFont val="Arial"/>
            <family val="2"/>
          </rPr>
          <t>Comment: Populate with latest outstanding. Leave blank to use Utilisation toggle. by JCL Model</t>
        </r>
      </text>
    </comment>
    <comment ref="K24" authorId="0" shapeId="0" xr:uid="{00000000-0006-0000-0400-000014000000}">
      <text>
        <r>
          <rPr>
            <sz val="10"/>
            <rFont val="Arial"/>
            <family val="2"/>
          </rPr>
          <t>Comment: Populate with latest outstanding. Leave blank to use Utilisation toggle. by JCL Model</t>
        </r>
      </text>
    </comment>
    <comment ref="Q24" authorId="0" shapeId="0" xr:uid="{00000000-0006-0000-0400-000031000000}">
      <text>
        <r>
          <rPr>
            <sz val="10"/>
            <rFont val="Arial"/>
            <family val="2"/>
          </rPr>
          <t>Comment: Sanction letter says 'to be decided'. Enter contracted rate once known. by JCL Model</t>
        </r>
      </text>
    </comment>
    <comment ref="K25" authorId="0" shapeId="0" xr:uid="{00000000-0006-0000-0400-000015000000}">
      <text>
        <r>
          <rPr>
            <sz val="10"/>
            <rFont val="Arial"/>
            <family val="2"/>
          </rPr>
          <t>Comment: Populate with latest outstanding. Leave blank to use Utilisation toggle. by JCL Model</t>
        </r>
      </text>
    </comment>
    <comment ref="Q25" authorId="0" shapeId="0" xr:uid="{00000000-0006-0000-0400-000032000000}">
      <text>
        <r>
          <rPr>
            <sz val="10"/>
            <rFont val="Arial"/>
            <family val="2"/>
          </rPr>
          <t>Comment: Sanction letter says 'to be decided'. Enter contracted rate once known. by JCL Model</t>
        </r>
      </text>
    </comment>
    <comment ref="K26" authorId="0" shapeId="0" xr:uid="{00000000-0006-0000-0400-000016000000}">
      <text>
        <r>
          <rPr>
            <sz val="10"/>
            <rFont val="Arial"/>
            <family val="2"/>
          </rPr>
          <t>Comment: Populate with latest outstanding. Leave blank to use Utilisation toggle. by JCL Model</t>
        </r>
      </text>
    </comment>
    <comment ref="K27" authorId="0" shapeId="0" xr:uid="{00000000-0006-0000-0400-000017000000}">
      <text>
        <r>
          <rPr>
            <sz val="10"/>
            <rFont val="Arial"/>
            <family val="2"/>
          </rPr>
          <t>Comment: Populate with latest outstanding. Leave blank to use Utilisation toggle. by JCL Model</t>
        </r>
      </text>
    </comment>
    <comment ref="K28" authorId="0" shapeId="0" xr:uid="{00000000-0006-0000-0400-000018000000}">
      <text>
        <r>
          <rPr>
            <sz val="10"/>
            <rFont val="Arial"/>
            <family val="2"/>
          </rPr>
          <t>Comment: Populate with latest outstanding. Leave blank to use Utilisation toggle. by JCL Model</t>
        </r>
      </text>
    </comment>
    <comment ref="Q28" authorId="0" shapeId="0" xr:uid="{00000000-0006-0000-0400-000033000000}">
      <text>
        <r>
          <rPr>
            <sz val="10"/>
            <rFont val="Arial"/>
            <family val="2"/>
          </rPr>
          <t>Comment: Sanction letter says 'to be decided'. Enter contracted rate once known. by JCL Model</t>
        </r>
      </text>
    </comment>
    <comment ref="K29" authorId="0" shapeId="0" xr:uid="{00000000-0006-0000-0400-000019000000}">
      <text>
        <r>
          <rPr>
            <sz val="10"/>
            <rFont val="Arial"/>
            <family val="2"/>
          </rPr>
          <t>Comment: Populate with latest outstanding. Leave blank to use Utilisation toggle. by JCL Model</t>
        </r>
      </text>
    </comment>
    <comment ref="K30" authorId="0" shapeId="0" xr:uid="{00000000-0006-0000-0400-00001A000000}">
      <text>
        <r>
          <rPr>
            <sz val="10"/>
            <rFont val="Arial"/>
            <family val="2"/>
          </rPr>
          <t>Comment: Populate with latest outstanding. Leave blank to use Utilisation toggle. by JCL Model</t>
        </r>
      </text>
    </comment>
    <comment ref="K31" authorId="0" shapeId="0" xr:uid="{00000000-0006-0000-0400-00001B000000}">
      <text>
        <r>
          <rPr>
            <sz val="10"/>
            <rFont val="Arial"/>
            <family val="2"/>
          </rPr>
          <t>Comment: Populate with latest outstanding. Leave blank to use Utilisation toggle. by JCL Model</t>
        </r>
      </text>
    </comment>
    <comment ref="K32" authorId="0" shapeId="0" xr:uid="{00000000-0006-0000-0400-00001C000000}">
      <text>
        <r>
          <rPr>
            <sz val="10"/>
            <rFont val="Arial"/>
            <family val="2"/>
          </rPr>
          <t>Comment: Populate with latest outstanding. Leave blank to use Utilisation toggle. by JCL Model</t>
        </r>
      </text>
    </comment>
    <comment ref="K33" authorId="0" shapeId="0" xr:uid="{00000000-0006-0000-0400-00001D000000}">
      <text>
        <r>
          <rPr>
            <sz val="10"/>
            <rFont val="Arial"/>
            <family val="2"/>
          </rPr>
          <t>Comment: Populate with latest outstanding. Leave blank to use Utilisation toggle. by JCL Model</t>
        </r>
      </text>
    </comment>
    <comment ref="K34" authorId="0" shapeId="0" xr:uid="{00000000-0006-0000-0400-00001E000000}">
      <text>
        <r>
          <rPr>
            <sz val="10"/>
            <rFont val="Arial"/>
            <family val="2"/>
          </rPr>
          <t>Comment: Populate with latest outstanding. Leave blank to use Utilisation toggle. by JCL Model</t>
        </r>
      </text>
    </comment>
    <comment ref="Q34" authorId="0" shapeId="0" xr:uid="{00000000-0006-0000-0400-000034000000}">
      <text>
        <r>
          <rPr>
            <sz val="10"/>
            <rFont val="Arial"/>
            <family val="2"/>
          </rPr>
          <t>Comment: Sanction letter says 'to be decided'. Enter contracted rate once known. by JCL Model</t>
        </r>
      </text>
    </comment>
    <comment ref="K35" authorId="0" shapeId="0" xr:uid="{00000000-0006-0000-0400-00001F000000}">
      <text>
        <r>
          <rPr>
            <sz val="10"/>
            <rFont val="Arial"/>
            <family val="2"/>
          </rPr>
          <t>Comment: Populate with latest outstanding. Leave blank to use Utilisation toggle. by JCL Model</t>
        </r>
      </text>
    </comment>
    <comment ref="K36" authorId="0" shapeId="0" xr:uid="{00000000-0006-0000-0400-000020000000}">
      <text>
        <r>
          <rPr>
            <sz val="10"/>
            <rFont val="Arial"/>
            <family val="2"/>
          </rPr>
          <t>Comment: Populate with latest outstanding. Leave blank to use Utilisation toggle. by JCL Model</t>
        </r>
      </text>
    </comment>
    <comment ref="K37" authorId="0" shapeId="0" xr:uid="{00000000-0006-0000-0400-000021000000}">
      <text>
        <r>
          <rPr>
            <sz val="10"/>
            <rFont val="Arial"/>
            <family val="2"/>
          </rPr>
          <t>Comment: Populate with latest outstanding. Leave blank to use Utilisation toggle. by JCL Model</t>
        </r>
      </text>
    </comment>
    <comment ref="K38" authorId="0" shapeId="0" xr:uid="{00000000-0006-0000-0400-000022000000}">
      <text>
        <r>
          <rPr>
            <sz val="10"/>
            <rFont val="Arial"/>
            <family val="2"/>
          </rPr>
          <t>Comment: Populate with latest outstanding. Leave blank to use Utilisation toggle. by JCL Model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tc={D92A2DE3-F725-4B30-9EA3-5AE3E0D6840D}</author>
    <author>tc={2E8B200C-4120-43D7-9139-5CF611E8AA6A}</author>
    <author>tc={6F60AA98-FDDC-4C06-95F8-FBCFE8BE76C2}</author>
    <author>tc={772483D2-7540-47CA-8493-49E6980340C7}</author>
    <author>tc={B4D40B02-9C7D-46A9-A618-0AB4245D9C64}</author>
    <author>tc={F654C510-5F17-4709-9F8D-D43D85E381E8}</author>
    <author>tc={9E1470F3-3124-4D3D-A5F9-14924745CEC0}</author>
    <author>tc={BED488FB-9857-454F-950C-A8C055BC9C1D}</author>
    <author>tc={602943BF-C354-4964-A1D8-62AE6839CFC6}</author>
  </authors>
  <commentList>
    <comment ref="O6" authorId="0" shapeId="0" xr:uid="{D92A2DE3-F725-4B30-9EA3-5AE3E0D6840D}">
      <text>
        <t>[Threaded comment]
Your version of Excel allows you to read this threaded comment; however, any edits to it will get removed if the file is opened in a newer version of Excel. Learn more: https://go.microsoft.com/fwlink/?linkid=870924
Comment:
    RBL: 1,182 = WCDL (100) + SBLC (100) + BG sub-limit of LC (25) + Pre-Acceptance LCBD (100) + SBLC for BC (190) + Capex LC (25) + LC-backed FD of FDOD (50) + PID standalone (100) + BC GIFT WC (100) + BC GIFT CAPEX (172). Net of overlaps = 1,182.</t>
      </text>
    </comment>
    <comment ref="P6" authorId="1" shapeId="0" xr:uid="{2E8B200C-4120-43D7-9139-5CF611E8AA6A}">
      <text>
        <t>[Threaded comment]
Your version of Excel allows you to read this threaded comment; however, any edits to it will get removed if the file is opened in a newer version of Excel. Learn more: https://go.microsoft.com/fwlink/?linkid=870924
Comment:
    Source: RBL 31-Dec-2025 — Overall cap excl. FD-backed = ₹300 Cr.</t>
      </text>
    </comment>
    <comment ref="O7" authorId="2" shapeId="0" xr:uid="{6F60AA98-FDDC-4C06-95F8-FBCFE8BE76C2}">
      <text>
        <t>[Threaded comment]
Your version of Excel allows you to read this threaded comment; however, any edits to it will get removed if the file is opened in a newer version of Excel. Learn more: https://go.microsoft.com/fwlink/?linkid=870924
Comment:
    YBL: 250 = WCDL sub-limit of LC (50) + BG/SBLC sub-limit of LC (200).</t>
      </text>
    </comment>
    <comment ref="P7" authorId="3" shapeId="0" xr:uid="{772483D2-7540-47CA-8493-49E6980340C7}">
      <text>
        <t>[Threaded comment]
Your version of Excel allows you to read this threaded comment; however, any edits to it will get removed if the file is opened in a newer version of Excel. Learn more: https://go.microsoft.com/fwlink/?linkid=870924
Comment:
    Source: YBL 19-Mar-2026 — WC cap net of ₹1 Cr receivable finance = ₹200 Cr.</t>
      </text>
    </comment>
    <comment ref="P8" authorId="4" shapeId="0" xr:uid="{B4D40B02-9C7D-46A9-A618-0AB4245D9C64}">
      <text>
        <t>[Threaded comment]
Your version of Excel allows you to read this threaded comment; however, any edits to it will get removed if the file is opened in a newer version of Excel. Learn more: https://go.microsoft.com/fwlink/?linkid=870924
Comment:
    Bajaj — single standalone TL, no separate cap; cap = full sanction ₹150 Cr.</t>
      </text>
    </comment>
    <comment ref="O9" authorId="5" shapeId="0" xr:uid="{F654C510-5F17-4709-9F8D-D43D85E381E8}">
      <text>
        <t>[Threaded comment]
Your version of Excel allows you to read this threaded comment; however, any edits to it will get removed if the file is opened in a newer version of Excel. Learn more: https://go.microsoft.com/fwlink/?linkid=870924
Comment:
    ICICI: 330 = WCDL sub-limit of CC (50) + SBLC sub-limit of LC (150) + BG Perf sub-limit of LC (25) + BG Fin sub-limit of LC (5) + Capex LC within LC umbrella (100). Per declared sub-limits.</t>
      </text>
    </comment>
    <comment ref="P9" authorId="6" shapeId="0" xr:uid="{9E1470F3-3124-4D3D-A5F9-14924745CEC0}">
      <text>
        <t>[Threaded comment]
Your version of Excel allows you to read this threaded comment; however, any edits to it will get removed if the file is opened in a newer version of Excel. Learn more: https://go.microsoft.com/fwlink/?linkid=870924
Comment:
    Source: ICICI 16-Sep-2025 — Aggregate sanctioned exposure cap = ₹200 Cr.</t>
      </text>
    </comment>
    <comment ref="O10" authorId="7" shapeId="0" xr:uid="{BED488FB-9857-454F-950C-A8C055BC9C1D}">
      <text>
        <t>[Threaded comment]
Your version of Excel allows you to read this threaded comment; however, any edits to it will get removed if the file is opened in a newer version of Excel. Learn more: https://go.microsoft.com/fwlink/?linkid=870924
Comment:
    SIB: 250 = WCL sub-limit of CC (50) + SBLC sub-limit of LC (150) + Capex LC within LC (50).</t>
      </text>
    </comment>
    <comment ref="P10" authorId="8" shapeId="0" xr:uid="{602943BF-C354-4964-A1D8-62AE6839CFC6}">
      <text>
        <t>[Threaded comment]
Your version of Excel allows you to read this threaded comment; however, any edits to it will get removed if the file is opened in a newer version of Excel. Learn more: https://go.microsoft.com/fwlink/?linkid=870924
Comment:
    Source: SIB 21-Jun-2025 — LC + Capex LC combined cap = ₹150 Cr.</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<sst xmlns="http://schemas.openxmlformats.org/spreadsheetml/2006/main" count="2181" uniqueCount="1171">
  <si>
    <t>Status</t>
  </si>
  <si>
    <t>Notes</t>
  </si>
  <si>
    <t>PASS</t>
  </si>
  <si>
    <t>All</t>
  </si>
  <si>
    <t>JINDAL COKE LIMITED</t>
  </si>
  <si>
    <t>DEBT MODEL</t>
  </si>
  <si>
    <t>Lender-wise, Facility-wise Debt Monitoring &amp; Repayment Model</t>
  </si>
  <si>
    <t>Company</t>
  </si>
  <si>
    <t>Jindal Coke Limited</t>
  </si>
  <si>
    <t>Registered Office</t>
  </si>
  <si>
    <t>O.P. Jindal Marg, Hisar - 125005, Haryana</t>
  </si>
  <si>
    <t>Promoter / Guarantor</t>
  </si>
  <si>
    <t>Mr. Ratan Jindal</t>
  </si>
  <si>
    <t>Model Name</t>
  </si>
  <si>
    <t>JCL Debt Model</t>
  </si>
  <si>
    <t>Prepared By</t>
  </si>
  <si>
    <t>Divyanshu Vatsa</t>
  </si>
  <si>
    <t>Date of Preparation</t>
  </si>
  <si>
    <t>As-of Date</t>
  </si>
  <si>
    <t>See Instructions &amp; Assumptions → AsOfDate</t>
  </si>
  <si>
    <t>Reporting Unit</t>
  </si>
  <si>
    <t>INR Crores (except Orig. Ccy columns)</t>
  </si>
  <si>
    <t>Total Active Lenders</t>
  </si>
  <si>
    <t>Total Facilities</t>
  </si>
  <si>
    <t>DISCLAIMER</t>
  </si>
  <si>
    <t>This model has been compiled solely from information available in the sanction letters issued by the company's lenders, supplemented by Raw Data aggregated in the source workbook. Outstanding balances, live benchmark rates, first-disbursement dates and latest management financials are not contained in the sanction letters and have been left as user-input cells (highlighted yellow). All explicit assumptions are listed on the 'Instructions &amp; Assumptions' tab. Model outputs (interest cost, covenant headroom, maturity profile) will update automatically once the yellow input cells are populated. This model is for internal monitoring purposes only and does not constitute financial advice or a formal lender representation.</t>
  </si>
  <si>
    <t>WORKBOOK TAB GUIDE</t>
  </si>
  <si>
    <t>Instructions &amp; Assumptions</t>
  </si>
  <si>
    <t>Hard inputs, model toggles, benchmark rates, and every explicit assumption.</t>
  </si>
  <si>
    <t>Facility Master</t>
  </si>
  <si>
    <t>Single source of truth: one row per facility × 30 columns. All other tabs lookup here.</t>
  </si>
  <si>
    <t>Lender Summary</t>
  </si>
  <si>
    <t>Lender-wise aggregates: FB/NFB exposure, outstanding, headroom, avg cost.</t>
  </si>
  <si>
    <t>Working Capital Facilities</t>
  </si>
  <si>
    <t>All CC/WCDL/PIF/CCOL/FDOD and similar WC lines.</t>
  </si>
  <si>
    <t>Term Loans</t>
  </si>
  <si>
    <t>3 amortising term loans: RBL, YBL (Canara refi), Bajaj.</t>
  </si>
  <si>
    <t>Non-Fund Based Facilities</t>
  </si>
  <si>
    <t>LC/SBLC/BG/Capex LC plus derivative/hedging lines.</t>
  </si>
  <si>
    <t>Repayment Schedule</t>
  </si>
  <si>
    <t>Quarterly principal + interest + debt-service schedule per term loan, plus consolidated.</t>
  </si>
  <si>
    <t>Interest Schedule</t>
  </si>
  <si>
    <t>Annual interest cost and NFB commission build-up across every facility.</t>
  </si>
  <si>
    <t>Covenant Tracker</t>
  </si>
  <si>
    <t>All 24 financial covenants with live compliance status.</t>
  </si>
  <si>
    <t>Security &amp; Charge Matrix</t>
  </si>
  <si>
    <t>Security package per lender (CA/FA/immovable, pari-passu ranking, PG).</t>
  </si>
  <si>
    <t>Utilization Tracker</t>
  </si>
  <si>
    <t>Utilisation % and headroom per facility, with &gt;90% highlight.</t>
  </si>
  <si>
    <t>Renewal &amp; Review Calendar</t>
  </si>
  <si>
    <t>Validity / renewal calendar with 30/60-day alert flags.</t>
  </si>
  <si>
    <t>Scenario Analysis</t>
  </si>
  <si>
    <t>Rate, spread, utilisation, EBITDA, debt levers × Base / Stress / Severe Stress.</t>
  </si>
  <si>
    <t>Dashboard</t>
  </si>
  <si>
    <t>Management one-pager.</t>
  </si>
  <si>
    <t>Data Validation / Checks</t>
  </si>
  <si>
    <t>Automated reconciliation and integrity checks.</t>
  </si>
  <si>
    <t>Plain-language walkthrough of the entire model.</t>
  </si>
  <si>
    <t>PREPARED &amp; BUILT BY</t>
  </si>
  <si>
    <t>Prepared for review by Paras Sir</t>
  </si>
  <si>
    <t>INSTRUCTIONS &amp; ASSUMPTIONS</t>
  </si>
  <si>
    <t>A. Core Model Parameters (hard inputs - yellow)</t>
  </si>
  <si>
    <t>Parameter</t>
  </si>
  <si>
    <t>Value</t>
  </si>
  <si>
    <t>Unit</t>
  </si>
  <si>
    <t>USD / INR FX Rate</t>
  </si>
  <si>
    <t>₹/USD</t>
  </si>
  <si>
    <t>Use Full Utilisation = Sanctioned?</t>
  </si>
  <si>
    <t>TRUE/FALSE</t>
  </si>
  <si>
    <t>Days in Year</t>
  </si>
  <si>
    <t>days</t>
  </si>
  <si>
    <t>Financial Basis (drives covenant actuals)</t>
  </si>
  <si>
    <t>Projected</t>
  </si>
  <si>
    <t>Basis</t>
  </si>
  <si>
    <t>B. Benchmark Rates (yellow = user input with current market rate)</t>
  </si>
  <si>
    <t>Benchmark</t>
  </si>
  <si>
    <t>Current Rate</t>
  </si>
  <si>
    <t>Source / Notes</t>
  </si>
  <si>
    <t>3M T-Bill</t>
  </si>
  <si>
    <t>3M T-Bill yield, Apr 17 2026. Source: tradingeconomics.com (India 3-Month Bond Yield)</t>
  </si>
  <si>
    <t>Repo Rate (RBI)</t>
  </si>
  <si>
    <t>RBI Policy Repo Rate, unchanged in Apr 8 2026 MPC. Source: RBI Monetary Policy Statement, Apr 8 2026</t>
  </si>
  <si>
    <t>RBL 1Y MCLR</t>
  </si>
  <si>
    <t>RBL Bank 1Y MCLR, ~9.00% approx Apr 2026. Source: Business Today article Apr 2026 (referenced RBL/YBL MCLR ~9.00%)</t>
  </si>
  <si>
    <t>YBL 3M MCLR</t>
  </si>
  <si>
    <t>YES Bank 3M MCLR, ~9.00% approx Apr 2026. Source: Business Today article Apr 2026 (referenced RBL/YBL MCLR ~9.00%)</t>
  </si>
  <si>
    <t>ICICI 6M I-MCLR</t>
  </si>
  <si>
    <t>ICICI Bank 6M I-MCLR, effective Jan 22 2026. Source: mymoneymantra.com / codeforbanks.com (ICICI Bank MCLR page)</t>
  </si>
  <si>
    <t>SIB 12M MCLR</t>
  </si>
  <si>
    <t>SIB 12M MCLR (at 21-Jun-2025 sanction; update for latest). Source: SIB sanction letter 21-Jun-2025 (pre-filled; update from southindianbank.com)</t>
  </si>
  <si>
    <t>Bajaj Floating Reference Rate</t>
  </si>
  <si>
    <t>Bajaj Floating Reference Rate (at 18-Aug-2025 sanction). Source: Bajaj sanction letter 18-Aug-2025 (pre-filled; update from bajajfinserv.in)</t>
  </si>
  <si>
    <t>Term SOFR (USD)</t>
  </si>
  <si>
    <t>Term SOFR 3M, approx. (O/N SOFR 3.67% Apr 16 2026 + term premium). Source: sofrrate.com (overnight SOFR); 3M Term SOFR slightly higher</t>
  </si>
  <si>
    <t>FD Rate (RBL FDOD)</t>
  </si>
  <si>
    <t>Customer-specific FD rate backing RBL FDOD. Source required: ask RBL relationship manager for the specific FD rate</t>
  </si>
  <si>
    <t>C. Latest Management Financials (yellow = user input, INR Cr)</t>
  </si>
  <si>
    <t>Line Item</t>
  </si>
  <si>
    <t>Active
(driven by toggle)</t>
  </si>
  <si>
    <t>FY26E
(Projected — Mentor Nov-2025 model)</t>
  </si>
  <si>
    <t>EBITDA (TTM or FY)</t>
  </si>
  <si>
    <t>Total Debt (Gross)</t>
  </si>
  <si>
    <t>Term Debt</t>
  </si>
  <si>
    <t>Tangible Net Worth (TNW)</t>
  </si>
  <si>
    <t>Adjusted TNW (ATNW)</t>
  </si>
  <si>
    <t>Current Assets</t>
  </si>
  <si>
    <t>Current Liabilities</t>
  </si>
  <si>
    <t>Total Outside Liabilities (TOL)</t>
  </si>
  <si>
    <t>Interest Expense (TTM)</t>
  </si>
  <si>
    <t>Fixed Assets (net block)</t>
  </si>
  <si>
    <t>Secured Debt (outstanding)</t>
  </si>
  <si>
    <t>External Rating</t>
  </si>
  <si>
    <t>CARE A+; Stable / A1</t>
  </si>
  <si>
    <t>Promoter Shareholding %</t>
  </si>
  <si>
    <t>Principal Repayment (TTM)</t>
  </si>
  <si>
    <t>D. Hard Inputs — where they live in this model</t>
  </si>
  <si>
    <t>(See individual tabs — Facility Master Col K for Current Outstanding, Col W for Drawdown, Col Q for Rate; Instructions Section B for Benchmarks; Instructions Section C for Financials.)</t>
  </si>
  <si>
    <t>G. Live Data Sources (captured from public data)</t>
  </si>
  <si>
    <t>Data Point</t>
  </si>
  <si>
    <t>Value Used</t>
  </si>
  <si>
    <t>Source</t>
  </si>
  <si>
    <t>Policy Repo Rate</t>
  </si>
  <si>
    <t>5.25%</t>
  </si>
  <si>
    <t>08-Apr-2026</t>
  </si>
  <si>
    <t>RBI Monetary Policy Committee (MPC) 60th meeting — unanimous hold</t>
  </si>
  <si>
    <t>3M T-Bill Yield</t>
  </si>
  <si>
    <t>5.18%</t>
  </si>
  <si>
    <t>17-Apr-2026</t>
  </si>
  <si>
    <t>tradingeconomics.com (India 3-Month Bond Yield, OTC interbank quotes)</t>
  </si>
  <si>
    <t>USD / INR FX</t>
  </si>
  <si>
    <t>₹92.98/USD</t>
  </si>
  <si>
    <t>21-Apr-2026</t>
  </si>
  <si>
    <t>investing.com / tradingeconomics.com / NSE USDINR futures (INR weakened ~9% YoY, Iran war + oil spike &gt; $100/bbl)</t>
  </si>
  <si>
    <t>ICICI Bank 6M I-MCLR</t>
  </si>
  <si>
    <t>8.30%</t>
  </si>
  <si>
    <t>22-Jan-2026 (effective)</t>
  </si>
  <si>
    <t>mymoneymantra.com / codeforbanks.com (ICICI Bank MCLR page; range 7.80%-8.35%)</t>
  </si>
  <si>
    <t>RBL Bank 1Y MCLR</t>
  </si>
  <si>
    <t>~9.00%</t>
  </si>
  <si>
    <t>Apr-2026</t>
  </si>
  <si>
    <t>Business Today article Apr-2026 (RBL/YES Bank MCLR around 9.00% — confirm from RBL relationship manager)</t>
  </si>
  <si>
    <t>YES Bank 3M MCLR</t>
  </si>
  <si>
    <t>Business Today article Apr-2026 (same reference as RBL — both PSU/mid-sized private bank MCLR range)</t>
  </si>
  <si>
    <t>9.75%</t>
  </si>
  <si>
    <t>21-Jun-2025 (sanction)</t>
  </si>
  <si>
    <t>SIB sanction letter BR/SANC/01/2025-26 (update with current rate from southindianbank.com)</t>
  </si>
  <si>
    <t>8.50%</t>
  </si>
  <si>
    <t>18-Aug-2025 (sanction)</t>
  </si>
  <si>
    <t>Bajaj sanction letter BFL/CL-MM/2025-26/JCL/01 (update with current rate from bajajfinserv.in)</t>
  </si>
  <si>
    <t>Term SOFR 3M</t>
  </si>
  <si>
    <t>~4.30%</t>
  </si>
  <si>
    <t>sofrrate.com (overnight SOFR 3.67% on 16-Apr-2026; 3M Term SOFR typically ~20-30 bps higher)</t>
  </si>
  <si>
    <t>JCL External Rating</t>
  </si>
  <si>
    <t>05-Apr-2024 (latest reaffirmation)</t>
  </si>
  <si>
    <t>CARE Ratings Ltd. press release dated 5-Apr-2024. Rating history: BBB (Sep-2020) → A- (Jul-2021) → A+ (May-2022, reaffirmed since). URL: careratings.com → Jindal Coke Limited PR 2024-04-15.</t>
  </si>
  <si>
    <t>JCL Financial Statements</t>
  </si>
  <si>
    <t>FY24A audited + FY25E–FY30E projected</t>
  </si>
  <si>
    <t>E. Explicit Assumptions  →  Assumption</t>
  </si>
  <si>
    <t>Reason</t>
  </si>
  <si>
    <t>Impact Area</t>
  </si>
  <si>
    <t>Drawdown date = sanction date (where 1st disbursement not provided)</t>
  </si>
  <si>
    <t>Sanction letters do not include disbursement registers. Defaults ensure schedule is buildable; user overrides per facility.</t>
  </si>
  <si>
    <t>Term Loans tab, Repayment Schedule, Interest Schedule.</t>
  </si>
  <si>
    <t>YBL Term Loan moratorium = 0 months</t>
  </si>
  <si>
    <t>Sanction letter does not explicitly state a moratorium. First quarterly payment defaults to the first quarter-end post drawdown.</t>
  </si>
  <si>
    <t>Repayment Schedule - YBL TL section.</t>
  </si>
  <si>
    <t>TBD interest rates: RBL TL estimated (indicative); others remain blank</t>
  </si>
  <si>
    <t>RBL TL sanction letter defers rate to drawdown. Model uses indicative rate of 1Y MCLR + 75 bps (= 9.75% at current MCLR of 9.00%) for covenant and interest projection purposes. WCDL/PID/WCL and some NFB facilities still blank — rates set at each drawdown/availment. Update Facility Master Column Q when actual rates confirmed.</t>
  </si>
  <si>
    <t>Facility Master Q13 (RBL TL); Interest Schedule; Scenario Analysis.</t>
  </si>
  <si>
    <t>Benchmark rates remain constant across all periods</t>
  </si>
  <si>
    <t>Model does not implement a rate curve. Scenario Analysis tab provides parallel shocks.</t>
  </si>
  <si>
    <t>Interest Schedule, Scenario Analysis.</t>
  </si>
  <si>
    <t>Non-fund based facilities are fully contingent</t>
  </si>
  <si>
    <t>No impact on debt balance unless invoked. Commission accrues on sanctioned (or utilised, where provided).</t>
  </si>
  <si>
    <t>Lender Summary, Dashboard.</t>
  </si>
  <si>
    <t>USD BC facilities converted to INR at single FX rate (Section A)</t>
  </si>
  <si>
    <t>Sanction letters do not provide hedge positions. Single rate drives INR equivalent.</t>
  </si>
  <si>
    <t>Facility Master col J for USD lines.</t>
  </si>
  <si>
    <t>Revolving facilities have no principal amortisation</t>
  </si>
  <si>
    <t>Revolvers are assumed to roll until validity expiry; outstanding at any time = user-entered.</t>
  </si>
  <si>
    <t>Repayment Schedule excludes revolvers.</t>
  </si>
  <si>
    <t>Equal Quarterly Instalments (EQI) used where schedule not itemised</t>
  </si>
  <si>
    <t>Bajaj: 28 EQI stated explicitly. RBL: 12 EQI stated explicitly. YBL: derived from 146-month tenor / quarterly freq ≈ 47 instalments.</t>
  </si>
  <si>
    <t>Repayment Schedule.</t>
  </si>
  <si>
    <t>Non-invoked NFB balances excluded from Total Debt</t>
  </si>
  <si>
    <t>Standard financial-covenant convention. Invocation must be manually toggled.</t>
  </si>
  <si>
    <t>Covenant Tracker: Total Debt link.</t>
  </si>
  <si>
    <t>Utilisation master toggle (Section A) overrides missing outstanding data</t>
  </si>
  <si>
    <t>Provides a 'fully utilised' stress view until actual outstandings are populated.</t>
  </si>
  <si>
    <t>Facility Master col L (Effective Outstanding).</t>
  </si>
  <si>
    <t>100%</t>
  </si>
  <si>
    <t>05-Apr-2024 (CARE rationale)</t>
  </si>
  <si>
    <t>74% JSL Overseas Limited (Ratan Jindal group) + 26% Jindal Stainless Limited (JSL divesting by Sep-2024 per Kallanish / SteelOrbis news, reallocating within Ratan Jindal group). Total promoter group ownership = 100%. Sources: CARE Ratings press release 5-Apr-2024; Kallanish/SteelOrbis news April 2024.</t>
  </si>
  <si>
    <t>F. Colour &amp; Formatting Legend</t>
  </si>
  <si>
    <t>Hardcoded input (user to populate)</t>
  </si>
  <si>
    <t>Yellow fill, blue text</t>
  </si>
  <si>
    <t>Hardcoded value (fixed data)</t>
  </si>
  <si>
    <t>Blue text, no fill</t>
  </si>
  <si>
    <t>Formula / calculation</t>
  </si>
  <si>
    <t>Black text</t>
  </si>
  <si>
    <t>Cross-sheet link</t>
  </si>
  <si>
    <t>Green text</t>
  </si>
  <si>
    <t>External reference</t>
  </si>
  <si>
    <t>Red text</t>
  </si>
  <si>
    <t>Totals / sub-totals</t>
  </si>
  <si>
    <t>Light-blue fill, bold</t>
  </si>
  <si>
    <t>Headers</t>
  </si>
  <si>
    <t>Navy fill, white text, bold</t>
  </si>
  <si>
    <t>RBL TL rate populated as indicative 9.75% (1Y MCLR + 75 bps)</t>
  </si>
  <si>
    <t>Sanction letter defers rate to drawdown. Indicative rate used for projection: 1Y MCLR of 9.00% (Apr-2026) + conservative spread of 75 bps. Update Facility Master Q13 when RBL confirms actual rate.</t>
  </si>
  <si>
    <t>Working capital facilities assumed annually renewed</t>
  </si>
  <si>
    <t>18 WC facilities show 'Expired' in Renewal Calendar because their original sanction-letter validity dates (mostly late 2025) have passed. These are annual-renewal facilities presumed renewed operationally. Confirm with ops team and update Facility Master Col AA with current validity dates.</t>
  </si>
  <si>
    <t>FY24 balance sheet ₹56 Cr discrepancy acknowledged</t>
  </si>
  <si>
    <t>Mentor's Nov-2025 model Note tab documents a ₹56 Cr discrepancy in the FY24 balance sheet and negative cash balances FY24-26 due to capex + buyback. Inherited into this debt model's Section C FY24A values as-is.</t>
  </si>
  <si>
    <t>DEBT PRICING TABLE</t>
  </si>
  <si>
    <t>Comprehensive rate structure for all 34 facilities. Yellow cells = assumption inputs where rate is "To Be Decided".</t>
  </si>
  <si>
    <t>S.No</t>
  </si>
  <si>
    <t>Lender</t>
  </si>
  <si>
    <t>Facility</t>
  </si>
  <si>
    <t>Category</t>
  </si>
  <si>
    <t>Rate Type</t>
  </si>
  <si>
    <t>Benchmark Index</t>
  </si>
  <si>
    <t>Benchmark
Rate</t>
  </si>
  <si>
    <t>Spread
(bps)</t>
  </si>
  <si>
    <t>Effective
Rate (p.a.)</t>
  </si>
  <si>
    <t>Reset
Frequency</t>
  </si>
  <si>
    <t>Penal
Interest</t>
  </si>
  <si>
    <t>Rate
Source</t>
  </si>
  <si>
    <t>N/A</t>
  </si>
  <si>
    <t>PRICING SUMMARY</t>
  </si>
  <si>
    <t>Facilities with confirmed rates</t>
  </si>
  <si>
    <t>Facilities with TBD rates</t>
  </si>
  <si>
    <t>Facilities with indicative rates</t>
  </si>
  <si>
    <t>Facilities with missing rates</t>
  </si>
  <si>
    <t>FACILITY MASTER (single source of truth)</t>
  </si>
  <si>
    <t>Nature</t>
  </si>
  <si>
    <t>Sub-limit Parent</t>
  </si>
  <si>
    <t>Currency</t>
  </si>
  <si>
    <t>Sanc. Amt
(Orig. Ccy)</t>
  </si>
  <si>
    <t>Sanc. Amt
(INR Cr)</t>
  </si>
  <si>
    <t>Current
Outstanding
(INR Cr)</t>
  </si>
  <si>
    <t>Effective
Outstanding
(INR Cr)</t>
  </si>
  <si>
    <t>Utilisation
%</t>
  </si>
  <si>
    <t>Available
Headroom
(INR Cr)</t>
  </si>
  <si>
    <t>Interest
Benchmark</t>
  </si>
  <si>
    <t>Spread</t>
  </si>
  <si>
    <t>Effective
Rate
(p.a.)</t>
  </si>
  <si>
    <t>Moratorium
(Months)</t>
  </si>
  <si>
    <t>Repayment
Frequency</t>
  </si>
  <si>
    <t>Tenor
(Months)</t>
  </si>
  <si>
    <t>No. of
Instalments</t>
  </si>
  <si>
    <t>Drawdown
Date</t>
  </si>
  <si>
    <t>Repayment
Start</t>
  </si>
  <si>
    <t>Maturity
Date</t>
  </si>
  <si>
    <t>Sanction
Date</t>
  </si>
  <si>
    <t>Validity
Date</t>
  </si>
  <si>
    <t>Facility
Purpose</t>
  </si>
  <si>
    <t>Security
(summary)</t>
  </si>
  <si>
    <t>Sanction
Reference</t>
  </si>
  <si>
    <t>Remarks</t>
  </si>
  <si>
    <t>RBL Bank</t>
  </si>
  <si>
    <t>Letter of Credit - Main Limit</t>
  </si>
  <si>
    <t>NFB</t>
  </si>
  <si>
    <t>Revolving</t>
  </si>
  <si>
    <t>Main</t>
  </si>
  <si>
    <t>INR</t>
  </si>
  <si>
    <t>Fixed commission</t>
  </si>
  <si>
    <t>-</t>
  </si>
  <si>
    <t>Fixed</t>
  </si>
  <si>
    <t>On Maturity</t>
  </si>
  <si>
    <t>Working capital incl. service LC issuance</t>
  </si>
  <si>
    <t>1st p-p on current assets; 2nd p-p on FA; Personal guarantee</t>
  </si>
  <si>
    <t>RBL Renewal Letter dated 31-Dec-2025</t>
  </si>
  <si>
    <t>Pricing revised from 0.50% to 0.45% on 31-Dec-2025. | Validity rolled +1 year (orig: 2025-11-30) per Assumption #12: annual-renewal WC facilities presumed operationally renewed. Confirm with relationship manager.</t>
  </si>
  <si>
    <t>Bank Guarantee</t>
  </si>
  <si>
    <t>Sub-limit of LC (Main)</t>
  </si>
  <si>
    <t>On Demand</t>
  </si>
  <si>
    <t>PBG, Bid Bond, Govt/Semi-Govt guarantees</t>
  </si>
  <si>
    <t>Invoice Discounting (PID)</t>
  </si>
  <si>
    <t>FB</t>
  </si>
  <si>
    <t>Standalone (under WC)</t>
  </si>
  <si>
    <t>To be decided</t>
  </si>
  <si>
    <t>TBD</t>
  </si>
  <si>
    <t>Working capital requirement</t>
  </si>
  <si>
    <t>Rate not specified in sanction letter. | Validity rolled +1 year (orig: 2025-11-30) per Assumption #12: annual-renewal WC facilities presumed operationally renewed. Confirm with relationship manager.</t>
  </si>
  <si>
    <t>SBLC</t>
  </si>
  <si>
    <t>Buyer's Credit from RBL GIFT City / other banks</t>
  </si>
  <si>
    <t>Same as LC</t>
  </si>
  <si>
    <t>RBL Modification Letter dated 13-Mar-2025</t>
  </si>
  <si>
    <t>SBLC sub-limit introduced via 13-Mar-2025 modification. | Validity rolled +1 year (orig: 2025-11-30) per Assumption #12: annual-renewal WC facilities presumed operationally renewed. Confirm with relationship manager. | Commission 0.50% per 28-Feb-2025 pricing, unchanged in 31-Dec-2025 renewal ('all other terms continue'). Earlier 13-Mar-2025 modification said 'TBD at transaction' for this sub-limit but was overridden by 31-Dec-2025 renewal.</t>
  </si>
  <si>
    <t>Pre-Acceptance LCBD</t>
  </si>
  <si>
    <t>Cash Credit</t>
  </si>
  <si>
    <t>1Y MCLR (RBL Bank)</t>
  </si>
  <si>
    <t>Floating</t>
  </si>
  <si>
    <t>RBL Renewal cum Modification dated 28-Feb-2025</t>
  </si>
  <si>
    <t>Pricing defined 28-Feb-2025; unchanged in 31-Dec-2025 letter. | Validity rolled +1 year (orig: 2025-11-30) per Assumption #12: annual-renewal WC facilities presumed operationally renewed. Confirm with relationship manager.</t>
  </si>
  <si>
    <t>Working Capital Demand Loan (WCDL)</t>
  </si>
  <si>
    <t>Working capital</t>
  </si>
  <si>
    <t>Rate set at drawdown. | Validity rolled +1 year (orig: 2025-11-30) per Assumption #12: annual-renewal WC facilities presumed operationally renewed. Confirm with relationship manager.</t>
  </si>
  <si>
    <t>Loan Equivalent Risk (LER)</t>
  </si>
  <si>
    <t>Hedge</t>
  </si>
  <si>
    <t>Bank treasury</t>
  </si>
  <si>
    <t>On Settlement</t>
  </si>
  <si>
    <t>Forex hedging (MTM cap 75%)</t>
  </si>
  <si>
    <t>Unsecured</t>
  </si>
  <si>
    <t>Notional limit; 75% MTM trigger. | Validity rolled +1 year (orig: 2025-11-30) per Assumption #12: annual-renewal WC facilities presumed operationally renewed. Confirm with relationship manager.</t>
  </si>
  <si>
    <t>Term Loan - Main Limit</t>
  </si>
  <si>
    <t>FB-Term</t>
  </si>
  <si>
    <t>Non-Revolving</t>
  </si>
  <si>
    <t>Floating (Indicative)</t>
  </si>
  <si>
    <t>Quarterly</t>
  </si>
  <si>
    <t>Repayment of existing SBLC/BC + fresh capex</t>
  </si>
  <si>
    <t>1st p-p on FA; 1st p-p mortgage on immovable; 2nd p-p on CA</t>
  </si>
  <si>
    <t>Rate indicative: 1Y MCLR + 75 bps = 9.75% (MCLR Apr-2026). Sanction letter defers actual rate to drawdown; update with RBL-confirmed rate when available.</t>
  </si>
  <si>
    <t>Debt-equity 40:60 for TL-funded capex. Rate TBD. | Validity rolled +1 year (orig: 2025-12-31) per Assumption #12: annual-renewal WC facilities presumed operationally renewed. Confirm with relationship manager.</t>
  </si>
  <si>
    <t>SBLC for Buyer's Credit (GIFT City)</t>
  </si>
  <si>
    <t>Revolving (converted 28-Feb-2025)</t>
  </si>
  <si>
    <t>Buyer's credit through RBL GIFT City or other banks</t>
  </si>
  <si>
    <t>Limit increased 172 -&gt; 190 Cr on 31-Dec-2025. | Validity rolled +1 year (orig: 2025-11-30) per Assumption #12: annual-renewal WC facilities presumed operationally renewed. Confirm with relationship manager.</t>
  </si>
  <si>
    <t>Capex LC</t>
  </si>
  <si>
    <t>Purchase of capital goods</t>
  </si>
  <si>
    <t>Originally 24-Jan-2024; converted revolving 28-Feb-2025. | Validity rolled +1 year (orig: 2025-11-30) per Assumption #12: annual-renewal WC facilities presumed operationally renewed. Confirm with relationship manager. | Commission TBD at disbursement per sanction letter. FD-backed LC typically carries nil-to-very-low commission (lender's own-FD collateral). Model shows 0.</t>
  </si>
  <si>
    <t>Overdraft backed by 100% FD (FDOD)</t>
  </si>
  <si>
    <t>FB-FDbacked</t>
  </si>
  <si>
    <t>FD rate</t>
  </si>
  <si>
    <t>Cash flow mismatches</t>
  </si>
  <si>
    <t>Exclusive charge on FD = 100% of facility</t>
  </si>
  <si>
    <t>RBL Renewal cum Enhancement dated 24-Jan-2024</t>
  </si>
  <si>
    <t>Excluded from INR 300 Cr overall cap. | Validity rolled +1 year (orig: 2025-11-30) per Assumption #12: annual-renewal WC facilities presumed operationally renewed. Confirm with relationship manager.</t>
  </si>
  <si>
    <t>LC backed by 100% FD</t>
  </si>
  <si>
    <t>NFB-FDbacked</t>
  </si>
  <si>
    <t>Sub-limit of FDOD</t>
  </si>
  <si>
    <t>WC - import/purchase of raw materials, stores &amp; spares</t>
  </si>
  <si>
    <t>Buyer's Credit from GIFT City - WC</t>
  </si>
  <si>
    <t>FB-FCY</t>
  </si>
  <si>
    <t>Backed by BG/SBLC from RBL</t>
  </si>
  <si>
    <t>USD</t>
  </si>
  <si>
    <t>Bullet</t>
  </si>
  <si>
    <t>Working capital requirements</t>
  </si>
  <si>
    <t>RBL-issued BG/SBLC</t>
  </si>
  <si>
    <t>RBL Buyer's Credit WC Sanction dated 13-Mar-2025</t>
  </si>
  <si>
    <t>Total RBL exposure (incl. LER) capped at INR 100 Cr. | Sanctioned INR capped at ₹100 Cr per sanction letter (binding limit). USD sanctioned limit is USD 11M, but total RBL exposure ring-fenced at ₹100 Cr regardless of FX. Formula: =MIN(USD×FX/10, 100). | Validity rolled +1 year (orig: 2025-11-30) per Assumption #12: annual-renewal WC facilities presumed operationally renewed. Confirm with relationship manager. | LC commission unspecified in sanction letter ('applicable commission plus taxes'). Model shows 0 pending confirmation from RM. Typical market rate for sub-180-day inland LC is 0.40%-0.60% p.a. Update Facility Master Q18 when confirmed.</t>
  </si>
  <si>
    <t>Buyer's Credit from GIFT City - CAPEX</t>
  </si>
  <si>
    <t>CAPEX funding</t>
  </si>
  <si>
    <t>RBL Buyer's Credit CAPEX Sanction dated 27-Mar-2025</t>
  </si>
  <si>
    <t>Total RBL exposure capped at INR 172 Cr (implied FX ~86). | Sanctioned INR capped at ₹172 Cr per sanction letter (binding limit). USD sanctioned limit is USD 20M, but total RBL exposure ring-fenced at ₹172 Cr regardless of FX. Formula: =MIN(USD×FX/10, 172). | Validity rolled +1 year (orig: 2025-11-30) per Assumption #12: annual-renewal WC facilities presumed operationally renewed. Confirm with relationship manager.</t>
  </si>
  <si>
    <t>YES Bank</t>
  </si>
  <si>
    <t>Purchase Invoice Financing</t>
  </si>
  <si>
    <t>Main (New)</t>
  </si>
  <si>
    <t>1st p-p hypothecation over current assets</t>
  </si>
  <si>
    <t>YBL Renewal cum Addendum dated 19-Mar-2026</t>
  </si>
  <si>
    <t>New facility; Interest payable upfront.</t>
  </si>
  <si>
    <t>Main (re-sized 19-Mar-2026)</t>
  </si>
  <si>
    <t>3M MCLR (YBL)</t>
  </si>
  <si>
    <t>Assumed annual review</t>
  </si>
  <si>
    <t>1st p-p on CA; mortgage on Faridabad property; 2nd p-p on FA; PG</t>
  </si>
  <si>
    <t>Pricing moved T-Bill+1.98% -&gt; 3M MCLR+0.07% on 19-Mar-2026.</t>
  </si>
  <si>
    <t>Letter of Credit</t>
  </si>
  <si>
    <t>Procurement of raw materials</t>
  </si>
  <si>
    <t>Overall WC cap INR 200 Cr net of receivable finance (INR 1 Cr). | Validity rolled +1 year (orig: 2026-03-26) per Assumption #12: annual-renewal WC facilities presumed operationally renewed. Confirm with relationship manager.</t>
  </si>
  <si>
    <t>Financial BG / SBLC</t>
  </si>
  <si>
    <t>Per renewal cycle</t>
  </si>
  <si>
    <t>Securing payment for raw materials / paper</t>
  </si>
  <si>
    <t>Commission cut 25 bps on 19-Mar-2026.</t>
  </si>
  <si>
    <t>Min utilisation covenant: 40% of YBL limits.</t>
  </si>
  <si>
    <t>Term Loan (Refinance Canara)</t>
  </si>
  <si>
    <t>Refinance Canara TL + reimburse promoter loan + IA</t>
  </si>
  <si>
    <t>2nd p-p on CA; 1st p-p on FA; 1st p-p EM Kalinga Nagar</t>
  </si>
  <si>
    <t>YBL TL Addendum dated 28-Mar-2025</t>
  </si>
  <si>
    <t>Bajaj Finance</t>
  </si>
  <si>
    <t>Term Loan</t>
  </si>
  <si>
    <t>Bajaj Floating Reference Rate (BFRR)</t>
  </si>
  <si>
    <t>CAPEX reimbursement + CAPEX + GCP</t>
  </si>
  <si>
    <t>1st p-p on FA at Coke Plant Khurunti; 2nd p-p on CA; MSC 1.25x</t>
  </si>
  <si>
    <t>Bajaj TL Sanction BFL/CL-MM/2025-26/JCL/01 dated 18-Aug-2025</t>
  </si>
  <si>
    <t>Floating; quarterly reset; WDV basis. No prepayment till 30-Sep-2026. | Validity rolled +1 year (orig: 2025-08-31) per Assumption #12: annual-renewal WC facilities presumed operationally renewed. Confirm with relationship manager.</t>
  </si>
  <si>
    <t>ICICI Bank</t>
  </si>
  <si>
    <t>6M I-MCLR (ICICI)</t>
  </si>
  <si>
    <t>1st p-p on CA; 2nd p-p on FA; 2nd p-p mortgage Kalinga Nagar</t>
  </si>
  <si>
    <t>ICICI Credit Arrangement Letter dated 16-Sep-2025</t>
  </si>
  <si>
    <t>Reset 6 monthly; one-way interchangeability CC-&gt;LC.</t>
  </si>
  <si>
    <t>Sub-limit of CC</t>
  </si>
  <si>
    <t>Repo Rate</t>
  </si>
  <si>
    <t>Working capital (bullet)</t>
  </si>
  <si>
    <t>ICICI WCDL Addendum dated 11-Nov-2025</t>
  </si>
  <si>
    <t>Letter of Credit (Inland/Foreign)</t>
  </si>
  <si>
    <t>RM, consumables, stores, spares, tools</t>
  </si>
  <si>
    <t>LC to JSL Global Commodities Pte Ltd capped at INR 25 Cr.</t>
  </si>
  <si>
    <t>SBLC for Buyers' Credit</t>
  </si>
  <si>
    <t>Sub-limit of LC</t>
  </si>
  <si>
    <t>Buyer's credit (USD/INR)</t>
  </si>
  <si>
    <t>Excluded from DP; no rollover beyond RBI guidelines.</t>
  </si>
  <si>
    <t>Bank Guarantee - Performance</t>
  </si>
  <si>
    <t>Bid bond, EMD, performance, customs</t>
  </si>
  <si>
    <t>SWIFT INR 1,000/BG; min commission INR 500/BG.</t>
  </si>
  <si>
    <t>Bank Guarantee - Financial</t>
  </si>
  <si>
    <t>Financial guarantees</t>
  </si>
  <si>
    <t>INR 50 mn per sanction letter.</t>
  </si>
  <si>
    <t>South Indian Bank</t>
  </si>
  <si>
    <t>CCOL (Cash Credit)</t>
  </si>
  <si>
    <t>12M MCLR (SIB)</t>
  </si>
  <si>
    <t>Annual renewal</t>
  </si>
  <si>
    <t>Pre-sale and post-sale working capital</t>
  </si>
  <si>
    <t>SIB Renewal BR/SANC/01/2025-26 dated 21-Jun-2025</t>
  </si>
  <si>
    <t>Annual reset.</t>
  </si>
  <si>
    <t>WCL / WCDL</t>
  </si>
  <si>
    <t>Sub-limit of CCOL</t>
  </si>
  <si>
    <t>Rate at each availment; rollover subject to rating/compliance.</t>
  </si>
  <si>
    <t>Inland / Import LC</t>
  </si>
  <si>
    <t>Purchase / import of RM, trading goods, services</t>
  </si>
  <si>
    <t>Total LC + Capex LC &lt;= INR 150 Cr.</t>
  </si>
  <si>
    <t>Main (within LC umbrella)</t>
  </si>
  <si>
    <t>Capital goods and capital maintenance</t>
  </si>
  <si>
    <t>Combined with Inland/Import LC limit.</t>
  </si>
  <si>
    <t>Buyer's credit for import payments</t>
  </si>
  <si>
    <t>No rollover. BC all-in-cost: Benchmark + 300 bps cap.</t>
  </si>
  <si>
    <t>Forward Contract Limit</t>
  </si>
  <si>
    <t>Hedging exchange risk</t>
  </si>
  <si>
    <t>Notional limit; no cash outflow unless settled.</t>
  </si>
  <si>
    <t>TOTAL</t>
  </si>
  <si>
    <t>LENDER SUMMARY</t>
  </si>
  <si>
    <t>All figures in INR Cr unless noted. Sourced from Facility Master via SUMIFS.</t>
  </si>
  <si>
    <t>#</t>
  </si>
  <si>
    <t>Total
Sanction</t>
  </si>
  <si>
    <t>Fund-Based
Sanction</t>
  </si>
  <si>
    <t>Non-Fund
Based Sanction</t>
  </si>
  <si>
    <t>Term Loan
Sanction</t>
  </si>
  <si>
    <t>Effective
Outstanding</t>
  </si>
  <si>
    <t>Available
Headroom</t>
  </si>
  <si>
    <t>Weighted Avg
Utilisation %</t>
  </si>
  <si>
    <t>Weighted Avg
Cost (on FB+TL)</t>
  </si>
  <si>
    <t>Earliest
Maturity</t>
  </si>
  <si>
    <t># of
Facilities</t>
  </si>
  <si>
    <t>Key Covenant / Notes</t>
  </si>
  <si>
    <t>Overall cap INR 300 Cr excl. FD-backed</t>
  </si>
  <si>
    <t>WC cap INR 200 Cr; FACR &gt;1.33x post 19-Mar-2026</t>
  </si>
  <si>
    <t>FACR &gt;1.25x; no prepay till 30-Sep-2026</t>
  </si>
  <si>
    <t>Aggregate cap INR 200 Cr; FB&lt;=50, NFB&lt;=150</t>
  </si>
  <si>
    <t>LC+Capex LC combined cap INR 150 Cr</t>
  </si>
  <si>
    <t>Total</t>
  </si>
  <si>
    <t>Lender Exposure Caps (from sanction letters)</t>
  </si>
  <si>
    <t>Cap Description</t>
  </si>
  <si>
    <t>Cap (INR Cr)</t>
  </si>
  <si>
    <t>Current Exposure</t>
  </si>
  <si>
    <t>Headroom</t>
  </si>
  <si>
    <t>% Utilised</t>
  </si>
  <si>
    <t>Overall exposure excl. FD-backed</t>
  </si>
  <si>
    <t>RBL 24-Jan-2024 &amp; 31-Dec-2025</t>
  </si>
  <si>
    <t>Reference only</t>
  </si>
  <si>
    <t>Overall FB WC excl. FD-backed</t>
  </si>
  <si>
    <t>RBL 28-Feb-2025</t>
  </si>
  <si>
    <t>Overall TL / Capex LC / SBLC</t>
  </si>
  <si>
    <t>RBL 24-Jan-2024</t>
  </si>
  <si>
    <t>Buyer's Credit WC + LER (total RBL)</t>
  </si>
  <si>
    <t>RBL 13-Mar-2025 (BC-WC)</t>
  </si>
  <si>
    <t>Buyer's Credit CAPEX (total RBL)</t>
  </si>
  <si>
    <t>RBL 27-Mar-2025 (BC-CAPEX)</t>
  </si>
  <si>
    <t>Total sanctioned facilities</t>
  </si>
  <si>
    <t>YBL 19-Mar-2026</t>
  </si>
  <si>
    <t>WC cap (net of receivable finance 1 Cr)</t>
  </si>
  <si>
    <t>LC to group/associate companies</t>
  </si>
  <si>
    <t>Aggregate sanctioned exposure</t>
  </si>
  <si>
    <t>ICICI 16-Sep-2025</t>
  </si>
  <si>
    <t>Fund-based exposure</t>
  </si>
  <si>
    <t>Non-fund-based exposure</t>
  </si>
  <si>
    <t>LC to JSL Global Commodities</t>
  </si>
  <si>
    <t>Total LC + Capex LC</t>
  </si>
  <si>
    <t>SIB 21-Jun-2025</t>
  </si>
  <si>
    <t>Forward contract ceiling</t>
  </si>
  <si>
    <t>WORKING CAPITAL FACILITIES</t>
  </si>
  <si>
    <t>All fund-based and non-fund-based WC lines from Facility Master. Includes CC, WCDL, PIF, PID, CCOL, FDOD, Buyer's Credit WC. LC/BG/SBLC are on the 'Non-Fund Based Facilities' tab.</t>
  </si>
  <si>
    <t>Sanction
(INR Cr)</t>
  </si>
  <si>
    <t>Outstanding
(INR Cr)</t>
  </si>
  <si>
    <t>Available
(INR Cr)</t>
  </si>
  <si>
    <t>Effective
Rate</t>
  </si>
  <si>
    <t>Security (summary)</t>
  </si>
  <si>
    <t>Working Capital Summary</t>
  </si>
  <si>
    <t>Total WC Sanctioned (INR Cr)</t>
  </si>
  <si>
    <t>Total WC Utilised (INR Cr)</t>
  </si>
  <si>
    <t>Unutilised Headroom (INR Cr)</t>
  </si>
  <si>
    <t>Weighted Avg WC Interest Rate</t>
  </si>
  <si>
    <t>TERM LOANS</t>
  </si>
  <si>
    <t>Three amortising term loans total INR 670.7 Cr sanctioned. Principal Outstanding and Principal Repaid below are derived from the Repayment Schedule. Quarterly instalment amounts are derived from Sanction ÷ Number of Instalments (EQI basis).</t>
  </si>
  <si>
    <t>Repayment
Start Date</t>
  </si>
  <si>
    <t>Quarterly
Instalment
(INR Cr)</t>
  </si>
  <si>
    <t>Remaining
Instalments</t>
  </si>
  <si>
    <t>Principal
Repaid
(INR Cr)</t>
  </si>
  <si>
    <t>Principal
Outstanding
(INR Cr)</t>
  </si>
  <si>
    <t>Security Package</t>
  </si>
  <si>
    <t>Key Financial Covenants</t>
  </si>
  <si>
    <t>DSCR&gt;1.25x; TermDebt/EBITDA&lt;2.5x; TOL/TNW&lt;3.0x; Rating&gt;=A-</t>
  </si>
  <si>
    <t>DSCR&gt;1.20x; TD/EBITDA&lt;4.5x till FY27 / &lt;3.5x FY28+; TD/ATNW&lt;2.0x; FACR&gt;1.33x</t>
  </si>
  <si>
    <t>DSCR&gt;1.20x; TD/EBITDA&lt;=4.0x; TD/ATNW&lt;2.0x; ICR&gt;=3.5x; FACR&gt;1.25x</t>
  </si>
  <si>
    <t>NON-FUND BASED FACILITIES</t>
  </si>
  <si>
    <t>LC, SBLC, BG, Capex LC, Forex hedging / LER. Commission = Sanctioned × Commission Rate (or utilised, if user prefers). NFB facilities do not impact debt balance unless invoked.</t>
  </si>
  <si>
    <t>Utilised
(INR Cr)</t>
  </si>
  <si>
    <t>Commission
Rate p.a.</t>
  </si>
  <si>
    <t>Annual
Commission
Cost (INR Cr)</t>
  </si>
  <si>
    <t>REPAYMENT SCHEDULE - Term Loans (Quarterly)</t>
  </si>
  <si>
    <t>Quarterly schedule for each term loan covering the full contractual tenor. Principal amount is Sanctioned ÷ Number of Instalments (EQI), applied from Repayment Start Date. Interest = Opening × Rate × (Days / 365). Consolidated section at the bottom sums across all TLs.</t>
  </si>
  <si>
    <t>1) RBL Bank — Term Loan - Main Limit (200 INR Cr) — S.No. 9</t>
  </si>
  <si>
    <t>Sanctioned (INR Cr)</t>
  </si>
  <si>
    <t>Drawdown</t>
  </si>
  <si>
    <t>Moratorium (m)</t>
  </si>
  <si>
    <t>Rep. Start</t>
  </si>
  <si>
    <t>Maturity</t>
  </si>
  <si>
    <t># Instalments</t>
  </si>
  <si>
    <t>Qtr Instalment</t>
  </si>
  <si>
    <t>Eff. Rate (p.a.)</t>
  </si>
  <si>
    <t>Period End</t>
  </si>
  <si>
    <t>Period Label</t>
  </si>
  <si>
    <t>Opening
Balance</t>
  </si>
  <si>
    <t>Principal
Repayment</t>
  </si>
  <si>
    <t>Closing
Balance</t>
  </si>
  <si>
    <t>Interest
Rate</t>
  </si>
  <si>
    <t>Days</t>
  </si>
  <si>
    <t>Interest
Expense</t>
  </si>
  <si>
    <t>Total Debt
Service</t>
  </si>
  <si>
    <t>Q4 FY24</t>
  </si>
  <si>
    <t>Q1 FY25</t>
  </si>
  <si>
    <t>Q2 FY25</t>
  </si>
  <si>
    <t>Q3 FY25</t>
  </si>
  <si>
    <t>Q4 FY25</t>
  </si>
  <si>
    <t>Q1 FY26</t>
  </si>
  <si>
    <t>Q2 FY26</t>
  </si>
  <si>
    <t>Q3 FY26</t>
  </si>
  <si>
    <t>Q4 FY26</t>
  </si>
  <si>
    <t>Q1 FY27</t>
  </si>
  <si>
    <t>Q2 FY27</t>
  </si>
  <si>
    <t>Q3 FY27</t>
  </si>
  <si>
    <t>Q4 FY27</t>
  </si>
  <si>
    <t>Q1 FY28</t>
  </si>
  <si>
    <t>Q2 FY28</t>
  </si>
  <si>
    <t>Q3 FY28</t>
  </si>
  <si>
    <t>Q4 FY28</t>
  </si>
  <si>
    <t>Q1 FY29</t>
  </si>
  <si>
    <t>Q2 FY29</t>
  </si>
  <si>
    <t>Q3 FY29</t>
  </si>
  <si>
    <t>Q4 FY29</t>
  </si>
  <si>
    <t>Q1 FY30</t>
  </si>
  <si>
    <t>Q2 FY30</t>
  </si>
  <si>
    <t>Q3 FY30</t>
  </si>
  <si>
    <t>Q4 FY30</t>
  </si>
  <si>
    <t>Q1 FY31</t>
  </si>
  <si>
    <t>Q2 FY31</t>
  </si>
  <si>
    <t>Q3 FY31</t>
  </si>
  <si>
    <t>Q4 FY31</t>
  </si>
  <si>
    <t>Q1 FY32</t>
  </si>
  <si>
    <t>Q2 FY32</t>
  </si>
  <si>
    <t>Q3 FY32</t>
  </si>
  <si>
    <t>Q4 FY32</t>
  </si>
  <si>
    <t>Q1 FY33</t>
  </si>
  <si>
    <t>Q2 FY33</t>
  </si>
  <si>
    <t>Q3 FY33</t>
  </si>
  <si>
    <t>Q4 FY33</t>
  </si>
  <si>
    <t>Q1 FY34</t>
  </si>
  <si>
    <t>Q2 FY34</t>
  </si>
  <si>
    <t>Q3 FY34</t>
  </si>
  <si>
    <t>Q4 FY34</t>
  </si>
  <si>
    <t>Q1 FY35</t>
  </si>
  <si>
    <t>Q2 FY35</t>
  </si>
  <si>
    <t>Q3 FY35</t>
  </si>
  <si>
    <t>Q4 FY35</t>
  </si>
  <si>
    <t>Q1 FY36</t>
  </si>
  <si>
    <t>Q2 FY36</t>
  </si>
  <si>
    <t>Q3 FY36</t>
  </si>
  <si>
    <t>Q4 FY36</t>
  </si>
  <si>
    <t>Q1 FY37</t>
  </si>
  <si>
    <t>Q2 FY37</t>
  </si>
  <si>
    <t>Q3 FY37</t>
  </si>
  <si>
    <t>Q4 FY37</t>
  </si>
  <si>
    <t>KPIs (as of AsOfDate)</t>
  </si>
  <si>
    <t>Princ. Repaid</t>
  </si>
  <si>
    <t>Princ. Outstanding</t>
  </si>
  <si>
    <t>2) YES Bank — Term Loan (Refinance Canara) (320.7 INR Cr) — S.No. 21</t>
  </si>
  <si>
    <t>3) Bajaj Finance — Term Loan (150 INR Cr) — S.No. 22</t>
  </si>
  <si>
    <t>CONSOLIDATED - All Term Loans</t>
  </si>
  <si>
    <t>Total
Principal
(INR Cr)</t>
  </si>
  <si>
    <t>Total
Interest
(INR Cr)</t>
  </si>
  <si>
    <t>Total Debt
Service
(INR Cr)</t>
  </si>
  <si>
    <t>Cumulative
Principal
(INR Cr)</t>
  </si>
  <si>
    <t>Cumulative
Interest
(INR Cr)</t>
  </si>
  <si>
    <t>Combined
Outstanding
(INR Cr)</t>
  </si>
  <si>
    <t>GRAND TOTAL</t>
  </si>
  <si>
    <t>INTEREST SCHEDULE (current run-rate)</t>
  </si>
  <si>
    <t>Annualised interest / commission cost per facility at the current effective outstanding and rate. Fund-based: Eff. Outstanding × Rate. Non-fund-based: Sanctioned × Commission. Live quarterly interest on the 3 TLs is in the Repayment Schedule.</t>
  </si>
  <si>
    <t>Effective
Rate p.a.</t>
  </si>
  <si>
    <t>Base for
Cost</t>
  </si>
  <si>
    <t>Annual
Interest /
Commission
(INR Cr)</t>
  </si>
  <si>
    <t>Rate
Type</t>
  </si>
  <si>
    <t>Floating
Index</t>
  </si>
  <si>
    <t>Interest Cost Summary</t>
  </si>
  <si>
    <t>Total Fund-Based Interest (Annual Run-rate)</t>
  </si>
  <si>
    <t>Total NFB Commission (Annual Run-rate)</t>
  </si>
  <si>
    <t>Hedging / Other Costs</t>
  </si>
  <si>
    <t>Total Interest + Commission (Annual)</t>
  </si>
  <si>
    <t>Weighted Avg Cost of Fund-Based Debt</t>
  </si>
  <si>
    <t>Fund-Based Effective Outstanding (INR Cr)</t>
  </si>
  <si>
    <t>Quarterly Debt Service (consolidated TL view, from Repayment Schedule)</t>
  </si>
  <si>
    <t>For the full quarterly breakdown by term loan, see the Repayment Schedule tab. The consolidated principal, interest and total debt-service totals are also summarised on the Dashboard.</t>
  </si>
  <si>
    <t>COVENANT TRACKER</t>
  </si>
  <si>
    <t>All lender covenants with live headroom calculation. Actuals link to the financials on Instructions &amp; Assumptions tab (Section C). Status shows 'Pending Input' until the relevant financials are populated. Green = Compliant; Amber = Within 10% of breach; Red = Breached.</t>
  </si>
  <si>
    <t>Covenant</t>
  </si>
  <si>
    <t>Threshold</t>
  </si>
  <si>
    <t>Operator</t>
  </si>
  <si>
    <t>Actual Value</t>
  </si>
  <si>
    <t>Testing Frequency</t>
  </si>
  <si>
    <t>DSCR</t>
  </si>
  <si>
    <t>&gt;1.25x</t>
  </si>
  <si>
    <t>&gt;</t>
  </si>
  <si>
    <t>At all times</t>
  </si>
  <si>
    <t>Term Debt / EBITDA</t>
  </si>
  <si>
    <t>&lt;2.5x</t>
  </si>
  <si>
    <t>&lt;</t>
  </si>
  <si>
    <t>Ongoing</t>
  </si>
  <si>
    <t>RBL 25-Nov-2022</t>
  </si>
  <si>
    <t>TOL / TNW</t>
  </si>
  <si>
    <t>&lt;3.0x</t>
  </si>
  <si>
    <t>&gt;= A-</t>
  </si>
  <si>
    <t>rating</t>
  </si>
  <si>
    <t>Throughout tenor</t>
  </si>
  <si>
    <t>RBL (all)</t>
  </si>
  <si>
    <t>&gt;1.20x</t>
  </si>
  <si>
    <t>Within 180D of FY-end</t>
  </si>
  <si>
    <t>YBL 16-Dec-2024 &amp; 19-Mar-2026</t>
  </si>
  <si>
    <t>Total Debt / EBITDA (till FY27)</t>
  </si>
  <si>
    <t>&lt;4.5x</t>
  </si>
  <si>
    <t>Total Debt / EBITDA (FY28+)</t>
  </si>
  <si>
    <t>&lt;3.5x</t>
  </si>
  <si>
    <t>Total Debt / ATNW</t>
  </si>
  <si>
    <t>&lt;2.0x</t>
  </si>
  <si>
    <t>FACR</t>
  </si>
  <si>
    <t>&gt;1.33x</t>
  </si>
  <si>
    <t>&gt;= A-/A1</t>
  </si>
  <si>
    <t>Total Debt / EBITDA</t>
  </si>
  <si>
    <t>&lt;=4.0x</t>
  </si>
  <si>
    <t>&lt;=</t>
  </si>
  <si>
    <t>FY26 onwards</t>
  </si>
  <si>
    <t>Bajaj 18-Aug-2025</t>
  </si>
  <si>
    <t>ICR</t>
  </si>
  <si>
    <t>&gt;=3.5x</t>
  </si>
  <si>
    <t>&gt;=</t>
  </si>
  <si>
    <t>TOL / ATNW (till FY26)</t>
  </si>
  <si>
    <t>TOL / ATNW (till FY27)</t>
  </si>
  <si>
    <t>&lt;2.1x</t>
  </si>
  <si>
    <t>TOL / ATNW (FY28+)</t>
  </si>
  <si>
    <t>&lt;=3.0x</t>
  </si>
  <si>
    <t>Annual</t>
  </si>
  <si>
    <t>Debt Equity Ratio</t>
  </si>
  <si>
    <t>&lt;=2.0x</t>
  </si>
  <si>
    <t>Current Ratio</t>
  </si>
  <si>
    <t>Annual | ⚠ PERSISTENT TIGHTNESS: FY24A 1.384x and FY26E 1.386x both sit at ~4% headroom vs &gt;1.33x threshold. CL includes ₹147 Cr BC current maturities; headroom should improve as BC winds down (mentor projects BC to ₹4.75 Cr by FY27).</t>
  </si>
  <si>
    <t>&gt;3.0x</t>
  </si>
  <si>
    <t>Covenant Dashboard</t>
  </si>
  <si>
    <t>Total Covenants</t>
  </si>
  <si>
    <t>Compliant</t>
  </si>
  <si>
    <t>Near Breach (Amber)</t>
  </si>
  <si>
    <t>Breached (Red)</t>
  </si>
  <si>
    <t>Pending Input</t>
  </si>
  <si>
    <t>SECURITY &amp; CHARGE MATRIX</t>
  </si>
  <si>
    <t>Lender-wise security ranking on each collateral category. Symbols: 1PP = First Pari-Passu; 2PP = Second Pari-Passu; EM = Equitable Mortgage; EX = Exclusive charge; PG = Personal Guarantee.</t>
  </si>
  <si>
    <t>Current Assets
Charge</t>
  </si>
  <si>
    <t>Fixed Assets
Charge</t>
  </si>
  <si>
    <t>Immovable
Property</t>
  </si>
  <si>
    <t>Pari-Passu
Ranking</t>
  </si>
  <si>
    <t>Personal
Guarantee</t>
  </si>
  <si>
    <t>Security
Trustee</t>
  </si>
  <si>
    <t>1st p-p (WC lines); 2nd p-p (TL / SBLC / Capex LC)</t>
  </si>
  <si>
    <t>2nd p-p (WC); 1st p-p (TL / SBLC / Capex LC)</t>
  </si>
  <si>
    <t>1st p-p EM Kalinga Nagar, Khurunti, Faridabad, Kharsiya (TL / SBLC)</t>
  </si>
  <si>
    <t>1st p-p for TL/SBLC/Capex LC; 2nd p-p for FA on WC</t>
  </si>
  <si>
    <t>Yes (WC consortium)</t>
  </si>
  <si>
    <t>FD-backed lines (FDOD INR 100 Cr; FD-backed LC INR 50 Cr) are EX-charged on FD.</t>
  </si>
  <si>
    <t>1st p-p (shared with consortium)</t>
  </si>
  <si>
    <t>1st p-p (TL); 2nd p-p (WC lines)</t>
  </si>
  <si>
    <t>1st p-p EM Kalinga Nagar for TL; Faridabad property for WC</t>
  </si>
  <si>
    <t>1st p-p on TL-secured collateral; 1st p-p on CA with consortium</t>
  </si>
  <si>
    <t>Yes</t>
  </si>
  <si>
    <t>Minimum utilisation covenant: 40% of WC limits.</t>
  </si>
  <si>
    <t>2nd p-p (on FA at Khurunti)</t>
  </si>
  <si>
    <t>1st p-p Khurunti Coke Plant</t>
  </si>
  <si>
    <t>1st p-p EM immovable at Khurunti</t>
  </si>
  <si>
    <t>1st p-p (FA); 2nd p-p (CA)</t>
  </si>
  <si>
    <t>Yes (solo)</t>
  </si>
  <si>
    <t>Minimum Security Cover 1.25x. No prepay till 30-Sep-2026.</t>
  </si>
  <si>
    <t>1st p-p (WC consortium)</t>
  </si>
  <si>
    <t>2nd p-p (subordinated to TL lenders)</t>
  </si>
  <si>
    <t>2nd p-p EM Kalinga Nagar</t>
  </si>
  <si>
    <t>1st p-p on CA; 2nd p-p on FA and immovable</t>
  </si>
  <si>
    <t>Yes (consortium)</t>
  </si>
  <si>
    <t>FB cap INR 50 Cr; NFB cap INR 150 Cr.</t>
  </si>
  <si>
    <t>2nd p-p</t>
  </si>
  <si>
    <t>Forward contract limit is notional.</t>
  </si>
  <si>
    <t>Glossary</t>
  </si>
  <si>
    <t>1PP / First Pari-Passu</t>
  </si>
  <si>
    <t>First-ranking charge shared equally with other first-pari-passu lenders.</t>
  </si>
  <si>
    <t>2PP / Second Pari-Passu</t>
  </si>
  <si>
    <t>Second-ranking charge, subordinated to first-pari-passu lenders.</t>
  </si>
  <si>
    <t>EX / Exclusive Charge</t>
  </si>
  <si>
    <t>Sole charge held by one lender over the specified asset.</t>
  </si>
  <si>
    <t>EM / Equitable Mortgage</t>
  </si>
  <si>
    <t>Mortgage over immovable property by deposit of title deeds.</t>
  </si>
  <si>
    <t>PG / Personal Guarantee</t>
  </si>
  <si>
    <t>Personal guarantee of Mr. Ratan Jindal (across all lenders).</t>
  </si>
  <si>
    <t>Current Assets (CA)</t>
  </si>
  <si>
    <t>Inventory, receivables, cash - primary working capital security.</t>
  </si>
  <si>
    <t>Fixed Assets (FA)</t>
  </si>
  <si>
    <t>Plant, machinery, equipment - primary term-loan security.</t>
  </si>
  <si>
    <t>Security Trustee</t>
  </si>
  <si>
    <t>Legal entity holding the security on behalf of lenders jointly.</t>
  </si>
  <si>
    <t>UTILIZATION TRACKER</t>
  </si>
  <si>
    <t>Facility-wise utilisation snapshot as of the Model As-of Date. Utilisation % &gt; 90% is highlighted red, 75-90% amber. Update Current Outstanding on the Facility Master to refresh.</t>
  </si>
  <si>
    <t>Review Flag</t>
  </si>
  <si>
    <t>RENEWAL &amp; REVIEW CALENDAR</t>
  </si>
  <si>
    <t>Facility validity, sanction and next-review tracker. Days Remaining is computed against AsOfDate. Red = expiring within 30 days, Amber = within 60 days.</t>
  </si>
  <si>
    <t>Sanction Date</t>
  </si>
  <si>
    <t>Validity Date</t>
  </si>
  <si>
    <t>Maturity Date</t>
  </si>
  <si>
    <t>Days to
Validity</t>
  </si>
  <si>
    <t>Upcoming Renewal Dashboard</t>
  </si>
  <si>
    <t>Facilities expiring in &lt;=30 days</t>
  </si>
  <si>
    <t>Facilities due for review in 31-60 days</t>
  </si>
  <si>
    <t>Facilities with validity &gt;60 days away</t>
  </si>
  <si>
    <t>Facilities without validity date</t>
  </si>
  <si>
    <t>NOTE: Working Capital Facility Renewal Convention</t>
  </si>
  <si>
    <t>18 working-capital facilities (CC, WCDL, PID, LC, BG, SBLC, CCOL, Buyer's Credit, FDOD, LER, Capex LC) show 'Expired' here because the original sanction-letter validity dates (mostly late 2025) precede the Model AsOfDate (21-Apr-2026). These operate on an annual-renewal cycle — validity is refreshed each cycle via renewal letters/addenda. Assumption #12 (Instructions tab Section E) captures this. ACTION: update Facility Master Column AA with current validity dates from ops/relationship managers for accurate tracking. Until then, 'Expired' flags here are informational, not operational. The 3 term loans are unaffected.</t>
  </si>
  <si>
    <t>SCENARIO ANALYSIS</t>
  </si>
  <si>
    <t>Active Scenario:</t>
  </si>
  <si>
    <t>Base</t>
  </si>
  <si>
    <t>Scenario Inputs (yellow = editable)</t>
  </si>
  <si>
    <t>Lever</t>
  </si>
  <si>
    <t>Base Case</t>
  </si>
  <si>
    <t>Stress</t>
  </si>
  <si>
    <t>Severe Stress</t>
  </si>
  <si>
    <t>Benchmark rate shock (bps)</t>
  </si>
  <si>
    <t>Spread increase (bps)</t>
  </si>
  <si>
    <t>Utilisation change (%)</t>
  </si>
  <si>
    <t>EBITDA change (%)</t>
  </si>
  <si>
    <t>Debt level change (%)</t>
  </si>
  <si>
    <t>Scenario Output (impact on key metrics)</t>
  </si>
  <si>
    <t>Metric</t>
  </si>
  <si>
    <t>Formula / Note</t>
  </si>
  <si>
    <t>Annual FB Interest Cost (INR Cr)</t>
  </si>
  <si>
    <t>FB Eff.Outstanding × (1 + util Δ) × (base rate + rate shock + spread shock).</t>
  </si>
  <si>
    <t>DSCR (stressed)</t>
  </si>
  <si>
    <t>EBITDA (shocked) / (Shocked Interest + Principal TTM).</t>
  </si>
  <si>
    <t>Total Debt / EBITDA (stressed)</t>
  </si>
  <si>
    <t>(Total Debt × (1+debt Δ)) / (EBITDA × (1+EBITDA Δ)).</t>
  </si>
  <si>
    <t>Interest Coverage Ratio (stressed)</t>
  </si>
  <si>
    <t>(EBITDA × (1+EBITDA Δ)) / Shocked Interest.</t>
  </si>
  <si>
    <t>STRESS INTERPRETATION &amp; KEY FINDINGS</t>
  </si>
  <si>
    <t>INDIVIDUAL RATE SENSITIVITY MATRIX</t>
  </si>
  <si>
    <t>Impact of +100 bps shock to each benchmark independently (all other rates unchanged)</t>
  </si>
  <si>
    <t>+100 bps Rate</t>
  </si>
  <si>
    <t>Affected Facilities</t>
  </si>
  <si>
    <t>Incremental Interest
(INR Cr p.a.)</t>
  </si>
  <si>
    <t>Impact on DSCR</t>
  </si>
  <si>
    <t>Impact on ICR</t>
  </si>
  <si>
    <t>MCLR (RBL 1Y)</t>
  </si>
  <si>
    <t>RBL CC, RBL TL</t>
  </si>
  <si>
    <t>See note</t>
  </si>
  <si>
    <t>MCLR (YBL 3M)</t>
  </si>
  <si>
    <t>YBL CC</t>
  </si>
  <si>
    <t>I-MCLR (ICICI 6M)</t>
  </si>
  <si>
    <t>ICICI CC</t>
  </si>
  <si>
    <t>MCLR (SIB 12M)</t>
  </si>
  <si>
    <t>SIB CCOL</t>
  </si>
  <si>
    <t>T-Bill (3M)</t>
  </si>
  <si>
    <t>YBL TL</t>
  </si>
  <si>
    <t>Term SOFR</t>
  </si>
  <si>
    <t>RBL BC-WC, RBL BC-CAPEX</t>
  </si>
  <si>
    <t>ICICI WCDL</t>
  </si>
  <si>
    <t>BFRR (Bajaj)</t>
  </si>
  <si>
    <t>Bajaj TL</t>
  </si>
  <si>
    <t>RATING DOWNGRADE IMPACT</t>
  </si>
  <si>
    <t>Current Rating</t>
  </si>
  <si>
    <t>Covenant Threshold</t>
  </si>
  <si>
    <t>&gt;= A- (RBL, YBL, ICICI minimum)</t>
  </si>
  <si>
    <t>Impact of downgrade to A-</t>
  </si>
  <si>
    <t>Impact of downgrade below A-</t>
  </si>
  <si>
    <t>JCL DEBT MONITORING — INTERACTIVE DASHBOARD</t>
  </si>
  <si>
    <t>As-of: 21-Apr-2026  |  FX: ₹92.98/USD (live)  |  All figures in INR Crores unless stated  |  FY ends 31-Mar</t>
  </si>
  <si>
    <t>CONTROLS →</t>
  </si>
  <si>
    <t>Basis:</t>
  </si>
  <si>
    <t>Full Util?:</t>
  </si>
  <si>
    <t>Lender Filter:</t>
  </si>
  <si>
    <t>All Lenders</t>
  </si>
  <si>
    <t>KEY PORTFOLIO METRICS</t>
  </si>
  <si>
    <t>Total Sanctioned</t>
  </si>
  <si>
    <t>FB Sanctioned</t>
  </si>
  <si>
    <t>NFB Sanctioned</t>
  </si>
  <si>
    <t>Term Loan Sanctioned</t>
  </si>
  <si>
    <t>Effective Outstanding</t>
  </si>
  <si>
    <t>Total Headroom</t>
  </si>
  <si>
    <t>Weighted Avg FB Cost</t>
  </si>
  <si>
    <t>Avg Utilisation</t>
  </si>
  <si>
    <t>Annual Interest+Comm</t>
  </si>
  <si>
    <t>Active Facilities</t>
  </si>
  <si>
    <t>TL Earliest Maturity</t>
  </si>
  <si>
    <t>TL Farthest Maturity</t>
  </si>
  <si>
    <t>COVENANT HEATMAP — Click any tile to jump to Covenant Tracker</t>
  </si>
  <si>
    <t>COVENANT STATUS SUMMARY</t>
  </si>
  <si>
    <t>TOP 5 TIGHTEST COVENANTS (by headroom %)</t>
  </si>
  <si>
    <t>Rank</t>
  </si>
  <si>
    <t>Actual</t>
  </si>
  <si>
    <t>Headroom %</t>
  </si>
  <si>
    <t>UPCOMING TL PAYMENTS (next 4 quarters)</t>
  </si>
  <si>
    <t>LENDER CONCENTRATION</t>
  </si>
  <si>
    <t>Quarter</t>
  </si>
  <si>
    <t>Payment Date</t>
  </si>
  <si>
    <t>Principal</t>
  </si>
  <si>
    <t>Interest</t>
  </si>
  <si>
    <t>Days Away</t>
  </si>
  <si>
    <t>Sanctioned</t>
  </si>
  <si>
    <t>% of Total</t>
  </si>
  <si>
    <t>Concentration Bar</t>
  </si>
  <si>
    <t>FINANCIAL SNAPSHOT (FY24A Actual vs FY26E Projected)</t>
  </si>
  <si>
    <t>FY24A Actual</t>
  </si>
  <si>
    <t>FY26E Projected</t>
  </si>
  <si>
    <t>Δ Change</t>
  </si>
  <si>
    <t>Active (used)</t>
  </si>
  <si>
    <t>EBITDA</t>
  </si>
  <si>
    <t>Earnings before Int/Tax/Dep/Amort</t>
  </si>
  <si>
    <t>Total Debt</t>
  </si>
  <si>
    <t>Gross debt incl current portion</t>
  </si>
  <si>
    <t>TNW</t>
  </si>
  <si>
    <t>Total Equity = Paid-up + Reserves</t>
  </si>
  <si>
    <t>Interest Exp</t>
  </si>
  <si>
    <t>TTM finance costs</t>
  </si>
  <si>
    <t>Net Fixed Assets</t>
  </si>
  <si>
    <t>CWIP capitalized in FY25</t>
  </si>
  <si>
    <t>TL PRINCIPAL MATURITY PROFILE (by FY)</t>
  </si>
  <si>
    <t>FACILITY TYPE MIX</t>
  </si>
  <si>
    <t>FY</t>
  </si>
  <si>
    <t>Principal (INR Cr)</t>
  </si>
  <si>
    <t>Visual</t>
  </si>
  <si>
    <t>Type</t>
  </si>
  <si>
    <t>FY25</t>
  </si>
  <si>
    <t>Fund-Based (non-TL)</t>
  </si>
  <si>
    <t>FY26</t>
  </si>
  <si>
    <t>FY27</t>
  </si>
  <si>
    <t>Non-Fund-Based</t>
  </si>
  <si>
    <t>FY28</t>
  </si>
  <si>
    <t>Hedging</t>
  </si>
  <si>
    <t>FY29</t>
  </si>
  <si>
    <t>FY30</t>
  </si>
  <si>
    <t>FY31</t>
  </si>
  <si>
    <t>FY32</t>
  </si>
  <si>
    <t>FY33</t>
  </si>
  <si>
    <t>FY34</t>
  </si>
  <si>
    <t>FY35</t>
  </si>
  <si>
    <t>FY36</t>
  </si>
  <si>
    <t>FY37</t>
  </si>
  <si>
    <t>Legend: 🟢 Compliant (headroom &gt; 5%)  |  🟡 Near Breach (headroom 1-5%)  |  🔴 Breached (headroom &lt; 0)  |  ⬜ Pending Input (data awaited)     Interactive: Change Basis/Lender dropdowns above to filter views.    Click any tile/link to navigate to source tab.</t>
  </si>
  <si>
    <t>Model prepared by: Divyanshu Vatsa  |  Prepared: 21-Apr-2026  |  Recalculated: On save  |  All formulas recompute automatically; no manual refresh needed.</t>
  </si>
  <si>
    <t>KEY FINDINGS &amp; WATCH ITEMS</t>
  </si>
  <si>
    <t>🟢</t>
  </si>
  <si>
    <t>Overall covenant compliance</t>
  </si>
  <si>
    <t>23 of 24 covenants Compliant (Green). 1 Near Breach, 0 Breached. Portfolio at 95.8% compliance.</t>
  </si>
  <si>
    <t>🟡</t>
  </si>
  <si>
    <t>Watch: SIB Current Ratio — persistent tightness</t>
  </si>
  <si>
    <t>1.386x vs &gt;1.33x threshold (4% headroom). Same tightness present in FY24A (1.384x) — structural, not cyclical. CL includes ₹147 Cr BC current maturities; tightness should ease as BC winds down (mentor projects BC to ₹4.75 Cr by FY27).</t>
  </si>
  <si>
    <t>Watch: DSCR binding under stress</t>
  </si>
  <si>
    <t>Covenant Tracker uses P&amp;L interest ₹49.08 Cr → DSCR 1.75x (comfortable). Scenario Analysis uses full run-rate ₹80.51 Cr with all floating rates wired → Base DSCR 1.53x, Stress 1.15x (breaches all DSCR covenants), Severe 0.84x. Binding under stress: DSCR AND ICR. See Scenario Analysis Interpretation for path to resolution.</t>
  </si>
  <si>
    <t>🔵</t>
  </si>
  <si>
    <t>Rate assumption: RBL TL</t>
  </si>
  <si>
    <t>Indicative rate 9.75% (1Y MCLR + 75 bps) used for modelling. Sanction letter defers actual rate to drawdown. Confirm actual rate with RBL and update Facility Master Q13.</t>
  </si>
  <si>
    <t>Operational item: 18 WC facility validities</t>
  </si>
  <si>
    <t>Expired dates in Renewal Calendar reflect original sanction-letter validity, not actual renewal status. Annual-renewal facilities presumed operationally renewed. Update Facility Master Col AA with current validity dates from ops team.</t>
  </si>
  <si>
    <t>Data note: FY24 BS discrepancy</t>
  </si>
  <si>
    <t>Mentor's Nov-2025 model flags ₹56 Cr balance sheet discrepancy for FY24 and negative cash FY24-26 (capex + buyback related). Inherited into this model's FY24A inputs. Doesn't affect forward covenant testing.</t>
  </si>
  <si>
    <t>Maturity profile visibility</t>
  </si>
  <si>
    <t>FY26 debt service ₹44 Cr → FY27 peaks at ₹110 Cr (RBL moratorium ends + Bajaj starts) → declining thereafter. Well-spaced; no bullet shocks. Check Upcoming TL Payments for next 4 quarters.</t>
  </si>
  <si>
    <t>DATA VALIDATION &amp; INTEGRITY CHECKS</t>
  </si>
  <si>
    <t>Automatic reconciliation checks. PASS (green) = check clears. FAIL (red) = mismatch - investigate. Use this tab after any data update to confirm model integrity.</t>
  </si>
  <si>
    <t>Check Description</t>
  </si>
  <si>
    <t>Expected</t>
  </si>
  <si>
    <t>Facility Master has exactly 34 facility rows</t>
  </si>
  <si>
    <t>Source data contains 34 active sanctioned facilities.</t>
  </si>
  <si>
    <t>Lender Summary total = Facility Master total</t>
  </si>
  <si>
    <t>Both totals should match exactly.</t>
  </si>
  <si>
    <t>FB + NFB + Hedge = Grand Total Sanctioned</t>
  </si>
  <si>
    <t>Categories must cover every facility.</t>
  </si>
  <si>
    <t>No outstanding &gt; sanctioned (for any facility)</t>
  </si>
  <si>
    <t>Expect 0 facilities where outstanding exceeds sanction.</t>
  </si>
  <si>
    <t>No maturity &lt; drawdown (for TLs)</t>
  </si>
  <si>
    <t>TL maturity should always follow drawdown.</t>
  </si>
  <si>
    <t>RBL TL principal: schedule total = sanctioned</t>
  </si>
  <si>
    <t>Sum of all principal payments over life should equal sanctioned amount.</t>
  </si>
  <si>
    <t>YBL TL principal: schedule total = sanctioned</t>
  </si>
  <si>
    <t>Bajaj TL principal: schedule total = sanctioned</t>
  </si>
  <si>
    <t>Covenant Tracker count = 24 covenants</t>
  </si>
  <si>
    <t>Covenants come from sanction letters for all 5 lenders.</t>
  </si>
  <si>
    <t>AsOfDate is set</t>
  </si>
  <si>
    <t>Model date must be a valid date on Instructions tab.</t>
  </si>
  <si>
    <t>FX rate is set</t>
  </si>
  <si>
    <t>FX rate must be positive for USD conversion.</t>
  </si>
  <si>
    <t>All lenders represented</t>
  </si>
  <si>
    <t>Should find 5 unique lender names.</t>
  </si>
  <si>
    <t>3 Term Loans present</t>
  </si>
  <si>
    <t>Expected: RBL 200, YBL 320.7, Bajaj 150 = 3 term loans.</t>
  </si>
  <si>
    <t>Total TL Sanctioned = 670.7 INR Cr</t>
  </si>
  <si>
    <t>Sum of 3 TL sanctioned amounts.</t>
  </si>
  <si>
    <t>Repayment schedule date range covers all TL maturities</t>
  </si>
  <si>
    <t>Schedule must extend beyond latest maturity (30-Sep-2036 for YBL).</t>
  </si>
  <si>
    <t>Overall Integrity</t>
  </si>
  <si>
    <t>Total Checks Passed</t>
  </si>
  <si>
    <t>Overall Status</t>
  </si>
  <si>
    <t>EXTENDED CHECKS (v3.0)</t>
  </si>
  <si>
    <t>Weighted Avg Cost is non-negative</t>
  </si>
  <si>
    <t>No TBD-rate facility shows non-zero interest</t>
  </si>
  <si>
    <t>Consolidated TL principal = sum of 3 TL principals</t>
  </si>
  <si>
    <t>Reconciles TL schedule totals</t>
  </si>
  <si>
    <t>All covenant actuals are numeric (not Pending)</t>
  </si>
  <si>
    <t>Section C financials must be populated</t>
  </si>
  <si>
    <t>FX rate is positive</t>
  </si>
  <si>
    <t>Drives USD BC INR equivalents</t>
  </si>
  <si>
    <t>Dashboard KPIs match source sheets</t>
  </si>
  <si>
    <t>Total Sanctioned on Dashboard vs Facility Master</t>
  </si>
  <si>
    <t>Interest Schedule total matches formula</t>
  </si>
  <si>
    <t>Annual interest = sum(outstanding × rate)</t>
  </si>
  <si>
    <t>No facility has negative headroom</t>
  </si>
  <si>
    <t>Headroom = Sanctioned - Outstanding</t>
  </si>
  <si>
    <t>Scenario Analysis base matches Interest Schedule</t>
  </si>
  <si>
    <t>Base case FB interest should equal Interest Schedule</t>
  </si>
  <si>
    <t>All 5 lenders present in Lender Summary</t>
  </si>
  <si>
    <t>5 unique lenders expected</t>
  </si>
  <si>
    <t>Extended Checks Passed</t>
  </si>
  <si>
    <t>10 of 10</t>
  </si>
  <si>
    <t>TOTAL CHECKS (Original + Extended)</t>
  </si>
  <si>
    <t>25 of 25</t>
  </si>
  <si>
    <t>NOTES — Plain-Language Walkthrough</t>
  </si>
  <si>
    <t>1. Overview — What this model does</t>
  </si>
  <si>
    <t>Purpose</t>
  </si>
  <si>
    <t>This workbook is a lender-wise, facility-wise debt monitoring tool for Jindal Coke Limited (JCL). It aggregates every active credit facility across 5 lenders (RBL, YES Bank, Bajaj Finance, ICICI Bank, South Indian Bank), calculates interest cost and principal repayment schedules, tracks financial covenants, and flags renewals / breaches automatically.</t>
  </si>
  <si>
    <t>Single source of truth</t>
  </si>
  <si>
    <t>The Facility Master tab is the master database. Every other tab pulls its data from there via formulas. If you update a number on Facility Master, every dependent tab updates automatically. Do NOT duplicate data elsewhere.</t>
  </si>
  <si>
    <t>Inputs vs outputs</t>
  </si>
  <si>
    <t>Cells highlighted YELLOW are inputs — you edit them. Everything else is a formula. The goal is to minimise hardcoded values and maximise formula logic, so the model stays consistent as new sanctions arrive.</t>
  </si>
  <si>
    <t>Units</t>
  </si>
  <si>
    <t>All figures are in INR Crores unless labelled otherwise. USD Buyer's Credit lines show the original USD amount AND an INR-equivalent computed using the FX rate on the Instructions tab.</t>
  </si>
  <si>
    <t>2. Colour Code</t>
  </si>
  <si>
    <t>Yellow cell</t>
  </si>
  <si>
    <t>You fill this in. Examples: current outstanding, benchmark rate, EBITDA.</t>
  </si>
  <si>
    <t>Blue text</t>
  </si>
  <si>
    <t>Hardcoded data from the sanction letter (e.g., sanctioned amount, spread, sanction date). Do not edit unless the sanction letter says otherwise.</t>
  </si>
  <si>
    <t>A formula result. Let it calculate — don't type over it.</t>
  </si>
  <si>
    <t>A cross-sheet link. The value lives on another tab.</t>
  </si>
  <si>
    <t>Navy header</t>
  </si>
  <si>
    <t>A heading or column title. Non-editable.</t>
  </si>
  <si>
    <t>Red / Amber fill</t>
  </si>
  <si>
    <t>An alert: covenant breach, facility over-utilised, renewal due soon, failed integrity check.</t>
  </si>
  <si>
    <t>3. Tab-by-Tab Guide</t>
  </si>
  <si>
    <t>Tab 1 — Cover Page</t>
  </si>
  <si>
    <t>What it is</t>
  </si>
  <si>
    <t>The front page. Lists the company details, preparation date, disclaimer, and a map of every tab with a 1-line description.</t>
  </si>
  <si>
    <t>What to update</t>
  </si>
  <si>
    <t>Usually nothing. Update the 'Date of Preparation' when you save a new version.</t>
  </si>
  <si>
    <t>Tab 2 — Instructions &amp; Assumptions</t>
  </si>
  <si>
    <t>The control panel. Holds the model's core inputs (as-of date, FX rate, utilisation toggle), benchmark rates, and every management financial line item needed by covenants.</t>
  </si>
  <si>
    <t>Section A - Core Parameters</t>
  </si>
  <si>
    <t>• AsOfDate: today's date for reporting purposes.
• FX_USD_INR: one number that drives USD → INR conversion on Buyer's Credit lines.
• UseFullUtilisation: TRUE → model assumes every facility is drawn at 100% (conservative/fully utilised view). FALSE → uses the outstanding values you enter in column K of Facility Master.
• DaysInYear: 365 (used in the interest formula).</t>
  </si>
  <si>
    <t>Section B - Benchmark Rates</t>
  </si>
  <si>
    <t>Live market rates (T-Bill, Repo, MCLR, SOFR). Pre-filled where the sanction letter captured them (ICICI 6M I-MCLR 8.30%, SIB 12M MCLR 9.75%, BFRR 8.50%). Populate the rest with current rates from your Treasury feed.</t>
  </si>
  <si>
    <t>Section C - Financials</t>
  </si>
  <si>
    <t>EBITDA, Total Debt, TNW, ATNW, Current Assets / Liabilities, TOL, Interest Expense, FA net block, Secured debt, External Rating, Promoter shareholding, Principal repaid TTM. These drive the Covenant Tracker. Until you fill them, covenants show 'Pending Input'.</t>
  </si>
  <si>
    <t>Section D - Hard Input Locations</t>
  </si>
  <si>
    <t>A reference table telling you where each data point lives in the model.</t>
  </si>
  <si>
    <t>Section E - Explicit Assumptions</t>
  </si>
  <si>
    <t>Every modelling assumption with its reason and impact area. Read this first if you need to challenge a number.</t>
  </si>
  <si>
    <t>Section F - Colour Legend</t>
  </si>
  <si>
    <t>Visual key for the cell colour convention.</t>
  </si>
  <si>
    <t>Tab 3 — Facility Master</t>
  </si>
  <si>
    <t>The database. One row per facility, 30 columns. Covers sanction amount, currency, outstanding, utilisation, rate, moratorium, tenor, drawdown, maturity, validity, purpose, security, remarks — everything.</t>
  </si>
  <si>
    <t>Key formulas on this tab</t>
  </si>
  <si>
    <t>• Column J (Sanction INR Cr): converts USD lines using FX_USD_INR.
• Column L (Effective Outstanding): if toggle is TRUE → uses sanctioned; else uses column K input.
• Column M (Utilisation %): column L / column J.
• Column N (Headroom): column J - column L.
• Column X (Repayment Start): = Drawdown + Moratorium months (EDATE).
• Column Y (Maturity): = Drawdown + Tenor months.</t>
  </si>
  <si>
    <t>• Column K: current outstanding per facility (one number per row).
• Column Q: effective rate for any facility marked 'to be decided'.
• Column W: confirmed drawdown date for the 3 term loans if different from sanction date.</t>
  </si>
  <si>
    <t>Conditional formatting</t>
  </si>
  <si>
    <t>Utilisation % cells turn red if &gt;90%, amber if 75-90%. Effective outstanding cells turn red if they exceed sanctioned (an integrity warning).</t>
  </si>
  <si>
    <t>Tab 4 — Lender Summary</t>
  </si>
  <si>
    <t>Lender-wise aggregated exposure (FB, NFB, TL, outstanding, headroom, weighted-average cost, earliest maturity, facility count, key note). Built entirely from SUMIFS against Facility Master.</t>
  </si>
  <si>
    <t>Below the summary</t>
  </si>
  <si>
    <t>Lender exposure caps table: the overall exposure limits documented in each sanction letter, so you can spot when the aggregate approaches a cap.</t>
  </si>
  <si>
    <t>Tab 5 — Working Capital Facilities</t>
  </si>
  <si>
    <t>A filtered view of all fund-based WC lines (CC, WCDL, PIF, PID, CCOL, FDOD, Buyer's Credit WC, LER). Columns: sanction, outstanding, available, utilisation %, benchmark, spread, effective rate, tenor, validity, security, remarks. Below the table: WC summary KPIs and weighted-average WC cost.</t>
  </si>
  <si>
    <t>Tab 6 — Term Loans</t>
  </si>
  <si>
    <t>Detailed view of the 3 amortising term loans: RBL ₹200 Cr, YBL ₹320.7 Cr (Canara refinance), Bajaj ₹150 Cr. For each, shows drawdown, moratorium, repayment start, maturity, quarterly instalment, rate, remaining instalments, principal repaid to date, principal outstanding, security and covenants.</t>
  </si>
  <si>
    <t>Data sources</t>
  </si>
  <si>
    <t>Principal repaid / outstanding is computed on the Repayment Schedule tab and linked here via named ranges TL_9_, TL_21_, TL_22_.</t>
  </si>
  <si>
    <t>Tab 7 — Non-Fund Based Facilities</t>
  </si>
  <si>
    <t>LC, SBLC, BG, Capex LC, Forex hedging. For each: sanction, utilisation, commission rate, tenor, validity, annual commission cost (sanction × commission %), security.</t>
  </si>
  <si>
    <t>Why NFB is tracked separately</t>
  </si>
  <si>
    <t>NFB facilities are contingent — they don't add to debt unless invoked. Commission is an expense, not interest.</t>
  </si>
  <si>
    <t>Tab 8 — Repayment Schedule</t>
  </si>
  <si>
    <t>Quarterly principal + interest + debt-service schedule for each of the 3 term loans, from Q1 FY25 through Q2 FY37 (~53 quarters). Each TL gets its own section with a header row showing key parameters, then quarterly data, then a subtotal and 'principal repaid to date' KPI.</t>
  </si>
  <si>
    <t>How principal is calculated</t>
  </si>
  <si>
    <t>Sanction ÷ Number of Instalments (EQI), applied only once the period end is on/after the repayment start date. Capped at the opening balance so we never pay down more than outstanding.</t>
  </si>
  <si>
    <t>How interest is calculated</t>
  </si>
  <si>
    <t>Opening balance × Effective Rate × Days / DaysInYear. Days = end-of-period minus end-of-prior-period. If the drawdown happens mid-quarter, the first quarter's days = period end - drawdown.</t>
  </si>
  <si>
    <t>Consolidated section</t>
  </si>
  <si>
    <t>At the bottom: per-quarter sum of principal / interest / total debt service across all 3 TLs. Used by the Dashboard maturity profile chart.</t>
  </si>
  <si>
    <t>Tab 9 — Interest Schedule</t>
  </si>
  <si>
    <t>Annual run-rate interest / commission cost per facility (all 34), based on current effective outstanding × effective rate. Fund-based charged on outstanding; NFB charged on sanctioned (conservative).</t>
  </si>
  <si>
    <t>Summary card</t>
  </si>
  <si>
    <t>Breaks total annual cost into FB interest, NFB commission, hedging, plus weighted-average cost of fund-based debt.</t>
  </si>
  <si>
    <t>Tab 10 — Covenant Tracker</t>
  </si>
  <si>
    <t>All 24 financial covenants collected from the sanction letters, with live actual / headroom / compliance status. Covers DSCR, Debt/EBITDA, TOL/TNW, TOL/ATNW, Current Ratio, ICR, FACR, External Rating, Debt/Equity, Promoter Shareholding.</t>
  </si>
  <si>
    <t>Compliance logic</t>
  </si>
  <si>
    <t>• Green (Compliant): actual passes the threshold.
• Amber (Near Breach): actual is within 10% of the threshold.
• Red (Breached): threshold violated.
• Grey (Pending Input): the financial hasn't been entered yet.</t>
  </si>
  <si>
    <t>Nothing on this tab. Populate the Section C financials on Instructions, and this tab lights up automatically.</t>
  </si>
  <si>
    <t>Tab 11 — Security &amp; Charge Matrix</t>
  </si>
  <si>
    <t>Lender × collateral category matrix. For each of the 5 lenders, shows their charge on Current Assets, Fixed Assets and Immovable Property; their pari-passu ranking; whether there's a Personal Guarantee; Security Trustee; and any facility-specific remarks.</t>
  </si>
  <si>
    <t>Below the table — defines 1PP, 2PP, EX, EM, PG etc. so there's no ambiguity.</t>
  </si>
  <si>
    <t>Tab 12 — Utilization Tracker</t>
  </si>
  <si>
    <t>One row per facility with sanction / utilised / available / utilisation % / status label / renewal flag. Status labels: Unutilised, Normal, Elevated (75-90%), High (&gt;90%). Renewal flag: OK, Due Soon (≤60D), Expiring (≤30D).</t>
  </si>
  <si>
    <t>Utilisation % and renewal flag are colour-coded so you can scan the tab visually.</t>
  </si>
  <si>
    <t>Tab 13 — Renewal &amp; Review Calendar</t>
  </si>
  <si>
    <t>Facility validity tracker with days-to-expiry. Red if ≤30 days, amber if ≤60 days, green if further out. KPI card at the bottom counts facilities in each bucket.</t>
  </si>
  <si>
    <t>Why this matters</t>
  </si>
  <si>
    <t>Missing a lender review often triggers automatic overdue classification and/or penal pricing. Check this tab monthly.</t>
  </si>
  <si>
    <t>Tab 14 — Scenario Analysis</t>
  </si>
  <si>
    <t>Three-case stress test: Base, Stress, Severe Stress. Levers: benchmark rate shock (bps), spread increase (bps), utilisation change (%), EBITDA change (%), debt level change (%).</t>
  </si>
  <si>
    <t>Output</t>
  </si>
  <si>
    <t>Annual FB interest cost, DSCR, Debt/EBITDA, ICR — all recomputed under each scenario so you can see which covenant fails first.</t>
  </si>
  <si>
    <t>Limitation</t>
  </si>
  <si>
    <t>The model applies shocks uniformly (parallel shift) across all floating facilities. Bajaj TL and FD-backed lines are actually fixed in practice; refine manually if precision matters.</t>
  </si>
  <si>
    <t>Tab 15 — Dashboard</t>
  </si>
  <si>
    <t>One-page management view: KPI tiles, lender exposure bar chart, FB/NFB/TL/Hedge pie, TL maturity profile bar chart, covenant status summary, and renewal snapshot. Everything auto-populates — you don't edit anything here.</t>
  </si>
  <si>
    <t>Charts</t>
  </si>
  <si>
    <t>The charts read from data tables embedded on the same tab. Right-click → Edit Data if you need to extend.</t>
  </si>
  <si>
    <t>Tab 16 — Data Validation &amp; Checks</t>
  </si>
  <si>
    <t>15+ automated integrity checks. Each returns PASS (green) or FAIL (red). Covers row counts, totals reconciling, outstanding ≤ sanctioned, maturity ≥ drawdown, TL schedule summing to sanctioned amount, covenant count, AsOfDate set, FX rate set, 5 unique lenders, etc.</t>
  </si>
  <si>
    <t>When to check</t>
  </si>
  <si>
    <t>Any time you update facility data — open this tab and make sure all checks still PASS before you share the file.</t>
  </si>
  <si>
    <t>Tab 17 — Notes (this tab)</t>
  </si>
  <si>
    <t>The tab you're reading. A plain-language walkthrough so any colleague can pick up the model without training.</t>
  </si>
  <si>
    <t>4. Common Workflows</t>
  </si>
  <si>
    <t>Updating current outstanding balances (monthly)</t>
  </si>
  <si>
    <t>Go to Facility Master. For each facility (rows 5-38), enter the current outstanding in column K. Leave blank if the facility is unutilised. Confirm checks on the Data Validation tab all pass.</t>
  </si>
  <si>
    <t>Adding a new facility sanction</t>
  </si>
  <si>
    <t>1. Insert a new row at the bottom of Facility Master.
2. Assign the next S.No.
3. Fill in every column: lender, facility, category, currency, sanction, rate, moratorium, tenor, dates, security, remarks.
4. Update the last-row anchor (FM_LAST_ROW in dependent formulas — or rebuild ranges).
5. Validate.</t>
  </si>
  <si>
    <t>Updating a benchmark rate</t>
  </si>
  <si>
    <t>Go to Instructions → Section B. Update the single yellow cell for that benchmark. Every facility tied to that benchmark updates automatically.</t>
  </si>
  <si>
    <t>Publishing a covenant report</t>
  </si>
  <si>
    <t>Update the financials on Instructions → Section C. Open the Covenant Tracker tab — every row now shows a live status. Screenshot or PDF this tab to share with the board / lender.</t>
  </si>
  <si>
    <t>Running a stress case</t>
  </si>
  <si>
    <t>Open Scenario Analysis. Edit the yellow cells under 'Stress' and 'Severe Stress' columns to match your stress assumptions. The output table below updates instantly.</t>
  </si>
  <si>
    <t>5. Key Assumptions Summary</t>
  </si>
  <si>
    <t>Drawdown = sanction date (where unknown)</t>
  </si>
  <si>
    <t>For the 3 term loans where we don't have a first-disbursement register, we use the sanction date. Override in Facility Master column W if a confirmed disbursement date is available.</t>
  </si>
  <si>
    <t>YBL TL moratorium = 0 months</t>
  </si>
  <si>
    <t>The YBL ₹320.7 Cr TL sanction letter doesn't state a moratorium. We set it to 0 so quarterly payments begin at the first quarter-end after drawdown.</t>
  </si>
  <si>
    <t>Benchmark rates held constant</t>
  </si>
  <si>
    <t>Interest and repayment schedules use a single snapshot rate per facility. For yield-curve sensitivity, use the Scenario Analysis tab.</t>
  </si>
  <si>
    <t>NFB facilities don't add to debt</t>
  </si>
  <si>
    <t>Standard convention for financial covenants. If a guarantee is invoked, manually adjust the Covenant Tracker's debt inputs.</t>
  </si>
  <si>
    <t>Commission on NFB = Sanctioned × rate</t>
  </si>
  <si>
    <t>Conservative: assumes the full sanctioned limit is outstanding. If the lender charges on utilised only, edit the formula on the NFB tab column M (change F to G).</t>
  </si>
  <si>
    <t>Full utilisation toggle</t>
  </si>
  <si>
    <t>A master switch on Instructions. TRUE = model assumes every facility is fully drawn (worst-case interest cost). FALSE = uses your per-facility outstanding entries.</t>
  </si>
  <si>
    <t>6. Glossary of Terms</t>
  </si>
  <si>
    <t>Fund-Based. Facility where the bank disburses cash (CC, WCDL, TL).</t>
  </si>
  <si>
    <t>Non-Fund-Based. Guarantee / letter of credit — no cash unless invoked.</t>
  </si>
  <si>
    <t>TL</t>
  </si>
  <si>
    <t>Term Loan. Amortising fund-based facility with a fixed tenor.</t>
  </si>
  <si>
    <t>WC / WCDL</t>
  </si>
  <si>
    <t>Working Capital / Working Capital Demand Loan.</t>
  </si>
  <si>
    <t>PIF / PID</t>
  </si>
  <si>
    <t>Purchase Invoice Financing / Purchase Invoice Discounting.</t>
  </si>
  <si>
    <t>LC / SBLC / BG</t>
  </si>
  <si>
    <t>Letter of Credit / Standby Letter of Credit / Bank Guarantee. All NFB instruments.</t>
  </si>
  <si>
    <t>FDOD</t>
  </si>
  <si>
    <t>Overdraft against 100% Fixed Deposit — a fully-collateralised revolving facility.</t>
  </si>
  <si>
    <t>Buyer's Credit (BC)</t>
  </si>
  <si>
    <t>Short-term foreign-currency loan to pay an import bill, typically from an overseas bank (here: RBL GIFT City).</t>
  </si>
  <si>
    <t>LER</t>
  </si>
  <si>
    <t>Loan Equivalent Risk — the notional exposure limit for forex hedging with a bank.</t>
  </si>
  <si>
    <t>BFRR</t>
  </si>
  <si>
    <t>Bajaj Floating Reference Rate — Bajaj Finance's published base rate.</t>
  </si>
  <si>
    <t>MCLR / I-MCLR</t>
  </si>
  <si>
    <t>Marginal Cost of funds-based Lending Rate (I-MCLR is ICICI's variant). Banks publish these monthly.</t>
  </si>
  <si>
    <t>USD risk-free rate; replaces LIBOR for USD pricing.</t>
  </si>
  <si>
    <t>RBI's policy rate. Some ICICI WCDL tranches reprice to Repo.</t>
  </si>
  <si>
    <t>Pari-Passu</t>
  </si>
  <si>
    <t>Equal ranking with other lenders on the same collateral.</t>
  </si>
  <si>
    <t>Debt Service Coverage Ratio = EBITDA / (Interest + Principal). Higher is better.</t>
  </si>
  <si>
    <t>Interest Coverage Ratio = EBITDA / Interest. Higher is better.</t>
  </si>
  <si>
    <t>Fixed Asset Coverage Ratio = Net Block / Secured Debt. Typically &gt;1.25x.</t>
  </si>
  <si>
    <t>Total Outside Liabilities / Tangible Net Worth. Lower is stronger.</t>
  </si>
  <si>
    <t>ATNW</t>
  </si>
  <si>
    <t>Adjusted Tangible Net Worth — TNW adjusted for inter-corporate items.</t>
  </si>
  <si>
    <t>EQI</t>
  </si>
  <si>
    <t>Equal Quarterly Instalment. Each quarter's principal payment equals Sanctioned ÷ Number of Instalments.</t>
  </si>
  <si>
    <t>7. Model Support</t>
  </si>
  <si>
    <t>Prepared by</t>
  </si>
  <si>
    <t>Divyanshu Vatsa. For model errors, extensions, or to add a new lender / facility, contact the preparer.</t>
  </si>
  <si>
    <t>MODEL INTEGRITY CHECKS</t>
  </si>
  <si>
    <t>Check</t>
  </si>
  <si>
    <t>1. Debt Reconciliation: FM Total = Lender Summary Total</t>
  </si>
  <si>
    <t>2. FB + NFB + Hedge + TL = Grand Total</t>
  </si>
  <si>
    <t>4. TL Repayment: Schedule totals = Sanctioned amounts</t>
  </si>
  <si>
    <t>3. Interest Calc: Total = Sum of line items</t>
  </si>
  <si>
    <t>5. Covenant Classification: 24 covenants tracked</t>
  </si>
  <si>
    <t>6. Date Consistency: AsOfDate is valid &amp; current</t>
  </si>
  <si>
    <t>7. Dashboard Linkage: Dashboard Total = FM Total</t>
  </si>
  <si>
    <t>OVERALL MODEL HEALTH</t>
  </si>
  <si>
    <t>MANAGEMENT INSIGHTS</t>
  </si>
  <si>
    <t>Commentary</t>
  </si>
  <si>
    <t>Total Debt Outstanding (Effective)</t>
  </si>
  <si>
    <t>Weighted Avg Cost of FB Debt</t>
  </si>
  <si>
    <t>Near-Term Maturities (next 12 months)</t>
  </si>
  <si>
    <t>Covenant Pressure Areas</t>
  </si>
  <si>
    <t>Major Refinancing Risk</t>
  </si>
  <si>
    <t>RBL TL (₹200 Cr) matures first. YBL TL runs to Sep-2036, Bajaj TL to Aug-2033. No concentration of maturities.</t>
  </si>
  <si>
    <t>Lender Concentration Risk</t>
  </si>
  <si>
    <t>Fixed vs Floating Exposure (FB)</t>
  </si>
  <si>
    <t>Key Items for Management Attention</t>
  </si>
  <si>
    <t>⚠</t>
  </si>
  <si>
    <t>(a) Confirm RBL TL actual rate at drawdown (currently indicative 9.75%). (b) Update 18 expired WC validity dates with ops team. (c) Monitor SIB Current Ratio — structural tightness at 4% headroom. (d) Populate TBD rates for 7 facilities as confirmed by lenders.</t>
  </si>
  <si>
    <t>Tax Paid (TTM)</t>
  </si>
  <si>
    <t>Scheduled TL Repayment (next 12M)</t>
  </si>
  <si>
    <t>RBL 24-Jan-2024 | Formula updated Apr-2026 per sanction-letter definitions.</t>
  </si>
  <si>
    <t>YBL 16-Dec-2024 &amp; 19-Mar-2026 | Formula updated Apr-2026 per sanction-letter definitions.</t>
  </si>
  <si>
    <t>Bajaj 18-Aug-2025 | Formula updated Apr-2026 per sanction-letter definitions.</t>
  </si>
  <si>
    <t>ICICI 16-Sep-2025 | Formula updated Apr-2026 per sanction-letter definitions.</t>
  </si>
  <si>
    <t>Sub-limit Amount
(double-counted in Total)</t>
  </si>
  <si>
    <t>Sanction-Letter
Umbrella Cap (₹ Cr)</t>
  </si>
  <si>
    <t>% of Cap
Utilised</t>
  </si>
  <si>
    <t>NOTE ON RBL AGGREGATION: RBL Total Sanction of ₹1,482 Cr is a GROSS number that double-counts sub-limits (e.g., WCDL is a sub-limit of the LC Main Limit). The binding constraint is the Sanction-Letter Umbrella Cap of ₹300 Cr (excl. FD-backed). The Sub-limit Amount column quantifies the double-counted portion. For lender-concentration analysis, use the Umbrella Cap column rather than Total Sanction.</t>
  </si>
  <si>
    <t>Spread 2.45% -&gt; 2.52% on 28-Mar-2025. FF 0.45% of TL. | Maturity hardcoded to 30-Sep-2036 per sanction letter final-repayment clause (overrides EDATE(drawdown, 146m) calc which gives 16-Feb-2037). 47 quarterly instalments over 141 months from drawdown 16-Dec-2024 end on 30-Sep-2036. | Validity rolled +1 year (orig: 2025-08-19) per Assumption #12: annual-renewal WC facilities presumed operationally renewed. Confirm with relationship manager. | RepStart hardcoded to 31-Mar-2025 (first quarterly instalment per sanction-letter dates: 30-Jun/30-Sep/31-Dec/31-Mar). 47 quarterly instalments from 31-Mar-2025 end on 30-Sep-2036. | ⚠ ASSUMPTION: Modelled as 47 EQI of ₹6.82 Cr. Sanction letter (16-Dec-2024) specifies 'quarterly instalments' without explicitly stating 'equal'. Mentor's standalone model uses graduated/back-loaded schedule with face ₹306.59 Cr. Confirm with Paras Sir which schedule binding. If graduated, update Repayment Schedule rows 71-125.</t>
  </si>
  <si>
    <t>YBL TL amortisation: EQI vs graduated schedule</t>
  </si>
  <si>
    <t>Debt model uses 47 Equal Quarterly Instalments of ₹6.82 Cr each (face ₹320.70 Cr per sanction letter 16-Dec-2024). Mentor's standalone model uses a graduated/back-loaded schedule with face ₹306.59 Cr. The sanction letter language ('quarterly instalments') does not explicitly state 'equal'. Confirm with Paras Sir which schedule is binding before lender reporting. If graduated schedule is binding, update Repayment Schedule rows 71-125 to override the EQI default.</t>
  </si>
  <si>
    <t>Repayment Schedule - YBL TL section (rows 67-125).</t>
  </si>
  <si>
    <t>Pricing per 28-Feb-2025 table; BG not re-priced on 31-Dec-2025. | Validity rolled +1 year (orig: 2025-11-30) per Assumption #12: annual-renewal WC facilities presumed operationally renewed. Confirm with relationship manager. | ⚠ COMMISSION RATE TBD: Original RBL sanction (25-Nov-2022) specifies 1.00% p.a. for BGs. 31-Dec-2025 renewal does not explicitly revise BG rate downward. 0.50% is inferred from the 28-Feb-2025 pricing table but NOT confirmed in writing by RBL for the renewed sanction. Confirm 0.50% with RBL RM before finalising lender reporting / commission accrual.</t>
  </si>
  <si>
    <t>Repo reset 15D/1M/3M by tenor. 0.50% prepayment premium. | ⚠ RATE INCOMPLETE: 5.25% reflects Repo only. Spread TBD at drawdown per sanction letter (16-Sep-2025). Market convention for WCDL above Repo: 50-100 bps spread. Update Q28 / column P28 when actual rate confirmed by ICICI RM.</t>
  </si>
  <si>
    <t>⚠ Rate provisional — see Facility Master Q28 note. Spread TBD at drawdown.</t>
  </si>
  <si>
    <t>* DSCR = (EBITDA − Tax Paid) ÷ (Scheduled TL Repayment + Interest). Threshold varies 1.20x–1.25x by lender. Sources: YBL 16-Dec-24, Bajaj 18-Aug-25, RBL 24-Jan-24, ICICI 16-Sep-25.</t>
  </si>
  <si>
    <t>Three-case stress test across rate, spread, utilisation, EBITDA, and debt levels. Adjust the yellow input cells to set scenario assumptions. The output block quantifies the impact on annual interest cost, DSCR, Debt/EBITDA, and ICR under each case.</t>
  </si>
  <si>
    <t>Parallel shift applied to all floating-rate benchmarks.</t>
  </si>
  <si>
    <t>Incremental spread assumed to be lender-imposed.</t>
  </si>
  <si>
    <t>+10% / +20% applied to current facility utilisation.</t>
  </si>
  <si>
    <t>Stress: −15% decline / Severe Stress: −30% decline.</t>
  </si>
  <si>
    <t>Stress: +10% additional debt / Severe Stress: +25% additional debt.</t>
  </si>
  <si>
    <t>How to Read This Tab</t>
  </si>
  <si>
    <t>1. Adjust the yellow input cells to set scenario assumptions. The defaults represent a typical rate/spread/EBITDA shock; each case can be tailored independently.
2. The output block applies each scenario to the current Facility Master data. Results do NOT flow back into the Repayment Schedule or Interest Schedule — those retain the base-rate view to allow direct comparison.
3. For DSCR, Debt/EBITDA, and ICR to display live figures, populate the financial inputs on the Instructions &amp; Assumptions tab (Section C).
4. Rate shocks are applied as a parallel shift across all floating-rate facilities. Fixed-rate facilities (Bajaj TL, FD-backed lines) would not reprice in practice — refine manually where precision is required.</t>
  </si>
  <si>
    <t>1. Base Case (FY26E projections, all rates live)</t>
  </si>
  <si>
    <t>2. Stress Case (+100 bps, −15% EBITDA, +10% debt)</t>
  </si>
  <si>
    <t>3. Severe Stress (+200 bps, −30% EBITDA, +25% debt)</t>
  </si>
  <si>
    <t>4. Path to Severe-Stress Resolution</t>
  </si>
  <si>
    <t>5. Rate-Shock Caveat</t>
  </si>
  <si>
    <t>With all floating rates wired to Section B benchmarks (RBL CC, YBL CC, RBL TL, YBL TL, Bajaj TL, ICICI CC, ICICI WCDL, SIB CCOL), the Scenario Analysis baseline FB interest equals ₹80.51 Cr. Scenario DSCR: 1.53x; Debt/EBITDA: 1.60x; ICR: 4.77x. Note: the Scenario Analysis applies a full-utilisation stress view. The Covenant Tracker uses the P&amp;L interest expense of ₹49.08 Cr, yielding a baseline DSCR of 1.75x — the figure presented to lenders.</t>
  </si>
  <si>
    <t>DSCR falls to 1.15x — below the YBL/Bajaj/ICICI threshold of &gt;1.20x and the RBL/ICICI threshold of &gt;1.25x. A moderate multi-factor stress is sufficient to breach every DSCR covenant. ICR of 2.87x falls below SIB’s &gt;3.0x and Bajaj’s ≥3.5x. Debt/EBITDA of 2.07x remains within all thresholds. Binding constraints under this scenario: DSCR and ICR.</t>
  </si>
  <si>
    <t>DSCR falls to 0.84x — a severe breach across all lenders. ICR of 1.78x breaches SIB and Bajaj covenants. Debt/EBITDA of 2.85x remains compliant (tightest threshold: ICICI at 3.0x). The compound effect of a rate shock, EBITDA decline, and leverage expansion simultaneously triggers DSCR and ICR covenants across the lender group.</t>
  </si>
  <si>
    <t>At severe-stress EBITDA of ₹269 Cr and interest of ₹151 Cr, maintaining DSCR &gt;1.25x requires annual principal repayment of approximately ₹64 Cr or below (versus the current ₹170 Cr). Key remediation levers: (a) extend term loan tenors to reduce annual debt-service; (b) include standstill or waiver provisions in sanction letters for stressed periods; (c) prepay the Bajaj TL (₹150 Cr at 8.60% fixed) to reduce the interest base.</t>
  </si>
  <si>
    <t>The parallel rate shock is applied to all floating-rate facilities. Of the ₹1,834 Cr total FB sanctioned, approximately ₹1,516 Cr is floating (RBL and YBL CC/TL, ICICI CC/WCDL, SIB CCOL, and RBL BC-FCY linked to SOFR). The Bajaj TL (₹150 Cr at 8.60% fixed per sanction letter), FD-backed lines (₹100 Cr), and NFB commission facilities do not reprice. The real-world interest impact of a +100 bps shock is estimated at 15–20% lower than the model output.</t>
  </si>
  <si>
    <t>−10% EBITDA</t>
  </si>
  <si>
    <t>+15% Debt Utilisation</t>
  </si>
  <si>
    <t>No covenant breach; within the minimum threshold. Spread repricing may apply at lender discretion.</t>
  </si>
  <si>
    <t>COVENANT BREACH: Rating covenants triggered for RBL, YBL, and ICICI. Risk of facility acceleration, penal interest, and mandatory lender review.</t>
  </si>
  <si>
    <t>A structured walkthrough of the model, intended for any reviewer picking up this workbook for the first time. Each tab is described in the order it appears, with the key inputs to populate, formulas to be aware of, and outputs to read.</t>
  </si>
  <si>
    <t>Drives remaining-tenor calculations and covenant tests. Set to today's date for each new reporting period.</t>
  </si>
  <si>
    <t>Live rate (Apr-2026); was ₹86 at the RBL sanction dated 27-Mar-2025. A change here flows through to the INR equivalent of all USD Buyer's Credit lines (Facility #14: USD 11M → ₹102.3 Cr; Facility #15: USD 20M → ₹186.0 Cr).</t>
  </si>
  <si>
    <t>If TRUE, Effective Outstanding is set equal to the Sanctioned Amount (fully drawn, conservative view). If FALSE, the model uses the per-facility outstanding entered in Facility Master Column K.</t>
  </si>
  <si>
    <t>Used throughout the Interest Schedule in the formula: Opening Balance × Rate × Days / 365.</t>
  </si>
  <si>
    <t>Toggle determines which financial column populates the Section C 'Active' values that feed the Covenant Tracker. 'Actual' uses FY24A audited figures; 'Projected' uses FY26E forecast figures.</t>
  </si>
  <si>
    <t>FY24A
(Audited — JCL Standalone Model, Nov-2025)</t>
  </si>
  <si>
    <t>JCL Standalone Model Nov25 v1 (file: JCL_Standalone_Model_Nov25_v1_201125.xlsx), prepared by Paras Sir, dated 20-Nov-2025. The KFI, Ratios, and Financials tabs are the authoritative source for all FY24A and FY26E covenant inputs. Note: the model documents a ₹56 Cr balance sheet discrepancy for FY24 and negative cash balances for FY24–26 due to capital expenditure and the buyback programme (refer to the Note tab in the source model).</t>
  </si>
  <si>
    <t>Promoter Shareholding</t>
  </si>
  <si>
    <t>Sanction letter defers the applicable rate to the drawdown date. An indicative rate of 9.75% (1Y MCLR of 9.00% as at Apr-2026, plus a conservative spread of 75 bps) has been used for projection purposes. Update Facility Master Q13 when the confirmed rate is received from RBL.</t>
  </si>
  <si>
    <t>18 working capital facilities show as 'Expired' in the Renewal &amp; Review Calendar because the validity dates in the original sanction letters (predominantly late 2025) have passed. These are annual-renewal facilities and are assumed to have been renewed operationally. Confirm with the operations team and update Facility Master Column AA with current validity dates.</t>
  </si>
  <si>
    <t>The source financial model documents a ₹56 Cr discrepancy in the FY24 balance sheet and negative cash balances for FY24–26 arising from capital expenditure and the share buyback programme. These FY24A figures have been carried into Section C of this model as-is. This discrepancy is not material for forward-looking covenant testing, which relies on FY26E projected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</si>
</sst>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dd\-mmm\-yyyy"/>
    <numFmt numFmtId="165" formatCode="0.00%;[Red]\(0.00%\);\-"/>
    <numFmt numFmtId="166" formatCode="#,##0.00;[Red]\(#,##0.00\);\-"/>
    <numFmt numFmtId="167" formatCode="0.00\x;[Red]\(0.00&quot;x)&quot;;\-"/>
    <numFmt numFmtId="168" formatCode="#,##0&quot; days&quot;"/>
    <numFmt numFmtId="169" formatCode="#,##0&quot; bps&quot;"/>
    <numFmt numFmtId="170" formatCode="#,##0.0"/>
    <numFmt numFmtId="171" formatCode="0.0%"/>
    <numFmt numFmtId="172" formatCode="\+0.0%;\-0.0%"/>
    <numFmt numFmtId="173" formatCode="dd/mmm/yyyy"/>
    <numFmt numFmtId="174" formatCode="\₹#,##0.0"/>
    <numFmt numFmtId="175" formatCode="\₹#,##0.00"/>
    <numFmt numFmtId="176" formatCode="0.00&quot;x&quot;"/>
    <numFmt numFmtId="177" formatCode="#,##0;\(#,##0\);\-"/>
  </numFmts>
  <fonts count="98" x14ac:knownFonts="1">
    <font>
      <sz val="11"/>
      <color theme="1"/>
      <name val="Calibri"/>
      <family val="2"/>
      <charset val="1"/>
    </font>
    <font>
      <sz val="10"/>
      <name val="Arial"/>
      <family val="2"/>
    </font>
    <font>
      <sz val="9"/>
      <color rgb="FF666666"/>
      <name val="Arial"/>
      <family val="2"/>
    </font>
    <font>
      <b/>
      <sz val="11"/>
      <color rgb="FF1F3864"/>
      <name val="Arial"/>
      <family val="2"/>
    </font>
    <font>
      <b/>
      <sz val="10"/>
      <color rgb="FFFFFFFF"/>
      <name val="Arial"/>
      <family val="2"/>
    </font>
    <font>
      <sz val="10"/>
      <color rgb="FF000000"/>
      <name val="Arial"/>
      <family val="2"/>
    </font>
    <font>
      <b/>
      <sz val="26"/>
      <color rgb="FFFFFFFF"/>
      <name val="Georgia"/>
      <family val="1"/>
      <charset val="1"/>
    </font>
    <font>
      <b/>
      <sz val="18"/>
      <color rgb="FFF5C24C"/>
      <name val="Georgia"/>
      <family val="1"/>
      <charset val="1"/>
    </font>
    <font>
      <b/>
      <sz val="10"/>
      <color rgb="FFFFFFFF"/>
      <name val="Georgia"/>
      <family val="1"/>
      <charset val="1"/>
    </font>
    <font>
      <sz val="10"/>
      <color rgb="FF000000"/>
      <name val="Arial"/>
      <family val="2"/>
      <charset val="1"/>
    </font>
    <font>
      <sz val="11"/>
      <color rgb="FF0B2545"/>
      <name val="Georgia"/>
      <family val="1"/>
      <charset val="1"/>
    </font>
    <font>
      <sz val="10"/>
      <color rgb="FF0000C0"/>
      <name val="Arial"/>
      <family val="2"/>
      <charset val="1"/>
    </font>
    <font>
      <b/>
      <sz val="12"/>
      <color rgb="FFFFFFFF"/>
      <name val="Georgia"/>
      <family val="1"/>
      <charset val="1"/>
    </font>
    <font>
      <i/>
      <sz val="10"/>
      <color rgb="FF000000"/>
      <name val="Arial"/>
      <family val="2"/>
      <charset val="1"/>
    </font>
    <font>
      <b/>
      <sz val="10"/>
      <color rgb="FF1F3864"/>
      <name val="Arial"/>
      <family val="2"/>
      <charset val="1"/>
    </font>
    <font>
      <b/>
      <sz val="18"/>
      <color rgb="FFFFFFFF"/>
      <name val="Georgia"/>
      <family val="1"/>
      <charset val="1"/>
    </font>
    <font>
      <i/>
      <sz val="10"/>
      <color rgb="FF13315C"/>
      <name val="Georgia"/>
      <family val="1"/>
      <charset val="1"/>
    </font>
    <font>
      <b/>
      <sz val="10"/>
      <color rgb="FF000000"/>
      <name val="Arial"/>
      <family val="2"/>
      <charset val="1"/>
    </font>
    <font>
      <sz val="9"/>
      <color rgb="FF000000"/>
      <name val="Arial"/>
      <family val="2"/>
      <charset val="1"/>
    </font>
    <font>
      <i/>
      <sz val="9"/>
      <color rgb="FF000000"/>
      <name val="Arial"/>
      <family val="2"/>
      <charset val="1"/>
    </font>
    <font>
      <b/>
      <sz val="10"/>
      <color rgb="FF0000C0"/>
      <name val="Arial"/>
      <family val="2"/>
      <charset val="1"/>
    </font>
    <font>
      <b/>
      <sz val="12"/>
      <color rgb="FFFFFFFF"/>
      <name val="Arial"/>
      <family val="2"/>
      <charset val="1"/>
    </font>
    <font>
      <b/>
      <sz val="10"/>
      <color rgb="FFFFFFFF"/>
      <name val="Arial"/>
      <family val="2"/>
      <charset val="1"/>
    </font>
    <font>
      <i/>
      <sz val="10"/>
      <color rgb="FF1F3864"/>
      <name val="Cambria"/>
      <family val="1"/>
      <charset val="1"/>
    </font>
    <font>
      <sz val="10"/>
      <color rgb="FF006100"/>
      <name val="Arial"/>
      <family val="2"/>
      <charset val="1"/>
    </font>
    <font>
      <sz val="10"/>
      <color rgb="FFC00000"/>
      <name val="Arial"/>
      <family val="2"/>
      <charset val="1"/>
    </font>
    <font>
      <sz val="10"/>
      <color rgb="FFFFFFFF"/>
      <name val="Arial"/>
      <family val="2"/>
      <charset val="1"/>
    </font>
    <font>
      <sz val="10"/>
      <color rgb="FF333333"/>
      <name val="Cambria"/>
      <family val="1"/>
      <charset val="1"/>
    </font>
    <font>
      <b/>
      <sz val="10"/>
      <color rgb="FF006100"/>
      <name val="Arial"/>
      <family val="2"/>
      <charset val="1"/>
    </font>
    <font>
      <b/>
      <sz val="11"/>
      <color rgb="FFFFFFFF"/>
      <name val="Arial"/>
      <family val="2"/>
      <charset val="1"/>
    </font>
    <font>
      <b/>
      <i/>
      <sz val="9"/>
      <color rgb="FFFFFFFF"/>
      <name val="Arial"/>
      <family val="2"/>
      <charset val="1"/>
    </font>
    <font>
      <b/>
      <sz val="9"/>
      <color rgb="FF000000"/>
      <name val="Arial"/>
      <family val="2"/>
      <charset val="1"/>
    </font>
    <font>
      <b/>
      <sz val="11"/>
      <color rgb="FFFFFFFF"/>
      <name val="Cambria"/>
      <family val="1"/>
      <charset val="1"/>
    </font>
    <font>
      <b/>
      <sz val="10"/>
      <name val="Georgia"/>
      <family val="1"/>
      <charset val="1"/>
    </font>
    <font>
      <b/>
      <sz val="11"/>
      <color rgb="FF0000C0"/>
      <name val="Georgia"/>
      <family val="1"/>
      <charset val="1"/>
    </font>
    <font>
      <sz val="11"/>
      <color theme="1"/>
      <name val="Georgia"/>
      <family val="1"/>
      <charset val="1"/>
    </font>
    <font>
      <b/>
      <sz val="10"/>
      <color rgb="FF000000"/>
      <name val="Arial"/>
      <family val="2"/>
    </font>
    <font>
      <sz val="10"/>
      <color rgb="FFFF0000"/>
      <name val="Arial"/>
      <family val="2"/>
    </font>
    <font>
      <b/>
      <sz val="18"/>
      <color rgb="FFFFFFFF"/>
      <name val="Georgia"/>
      <family val="1"/>
    </font>
    <font>
      <i/>
      <sz val="10"/>
      <color rgb="FF13315C"/>
      <name val="Georgia"/>
      <family val="1"/>
    </font>
    <font>
      <b/>
      <sz val="10"/>
      <color rgb="FFFFFFFF"/>
      <name val="Georgia"/>
      <family val="1"/>
    </font>
    <font>
      <b/>
      <sz val="12"/>
      <color rgb="FFFFFFFF"/>
      <name val="Georgia"/>
      <family val="1"/>
    </font>
    <font>
      <sz val="10"/>
      <color theme="1"/>
      <name val="Arial"/>
      <family val="2"/>
    </font>
    <font>
      <b/>
      <sz val="10"/>
      <color theme="1"/>
      <name val="Arial"/>
      <family val="2"/>
    </font>
    <font>
      <b/>
      <sz val="10"/>
      <color rgb="FF1F3864"/>
      <name val="Calibri"/>
      <family val="2"/>
    </font>
    <font>
      <b/>
      <sz val="10"/>
      <name val="Calibri"/>
      <family val="2"/>
    </font>
    <font>
      <b/>
      <sz val="10"/>
      <color rgb="FF0000C0"/>
      <name val="Calibri"/>
      <family val="2"/>
    </font>
    <font>
      <b/>
      <u/>
      <sz val="10"/>
      <color rgb="FF0563C1"/>
      <name val="Calibri"/>
      <family val="2"/>
    </font>
    <font>
      <sz val="10"/>
      <name val="Calibri"/>
      <family val="2"/>
    </font>
    <font>
      <sz val="10"/>
      <color rgb="FF333333"/>
      <name val="Calibri"/>
      <family val="2"/>
    </font>
    <font>
      <sz val="10"/>
      <color theme="1"/>
      <name val="Calibri"/>
      <family val="2"/>
    </font>
    <font>
      <b/>
      <sz val="10"/>
      <color rgb="FFFFFFFF"/>
      <name val="Calibri"/>
      <family val="2"/>
    </font>
    <font>
      <b/>
      <sz val="10"/>
      <color rgb="FF006100"/>
      <name val="Calibri"/>
      <family val="2"/>
    </font>
    <font>
      <b/>
      <sz val="10"/>
      <color rgb="FF9C5700"/>
      <name val="Calibri"/>
      <family val="2"/>
    </font>
    <font>
      <b/>
      <sz val="10"/>
      <color rgb="FF9C0006"/>
      <name val="Calibri"/>
      <family val="2"/>
    </font>
    <font>
      <i/>
      <sz val="10"/>
      <color rgb="FF595959"/>
      <name val="Calibri"/>
      <family val="2"/>
    </font>
    <font>
      <sz val="10"/>
      <color rgb="FFFFFFFF"/>
      <name val="Calibri"/>
      <family val="2"/>
    </font>
    <font>
      <sz val="10"/>
      <color rgb="FF808080"/>
      <name val="Calibri"/>
      <family val="2"/>
    </font>
    <font>
      <b/>
      <sz val="11"/>
      <color rgb="FF1B2A4A"/>
      <name val="Calibri"/>
      <family val="2"/>
    </font>
    <font>
      <b/>
      <i/>
      <sz val="11"/>
      <color rgb="FF1B2A4A"/>
      <name val="Calibri"/>
      <family val="2"/>
    </font>
    <font>
      <sz val="8"/>
      <color rgb="FF888888"/>
      <name val="Calibri"/>
      <family val="2"/>
    </font>
    <font>
      <b/>
      <sz val="13"/>
      <color rgb="FF1B2A4A"/>
      <name val="Calibri"/>
      <family val="2"/>
    </font>
    <font>
      <b/>
      <sz val="9"/>
      <color rgb="FF1B2A4A"/>
      <name val="Calibri"/>
      <family val="2"/>
    </font>
    <font>
      <sz val="10"/>
      <color rgb="FF008000"/>
      <name val="Calibri"/>
      <family val="2"/>
    </font>
    <font>
      <sz val="10"/>
      <color rgb="FFCC7722"/>
      <name val="Calibri"/>
      <family val="2"/>
    </font>
    <font>
      <sz val="10"/>
      <color rgb="FF0066CC"/>
      <name val="Calibri"/>
      <family val="2"/>
    </font>
    <font>
      <b/>
      <sz val="12"/>
      <color rgb="FF1B2A4A"/>
      <name val="Calibri"/>
      <family val="2"/>
    </font>
    <font>
      <b/>
      <sz val="9"/>
      <color rgb="FF1B2A4A"/>
      <name val="Calibri"/>
      <family val="2"/>
      <charset val="1"/>
    </font>
    <font>
      <b/>
      <sz val="11"/>
      <color rgb="FF1B2A4A"/>
      <name val="Calibri"/>
      <family val="2"/>
      <charset val="1"/>
    </font>
    <font>
      <b/>
      <sz val="12"/>
      <color theme="1"/>
      <name val="Calibri"/>
      <family val="2"/>
      <charset val="1"/>
    </font>
    <font>
      <b/>
      <sz val="12"/>
      <color rgb="FF1B2A4A"/>
      <name val="Calibri"/>
      <family val="2"/>
      <charset val="1"/>
    </font>
    <font>
      <b/>
      <sz val="11"/>
      <color theme="1"/>
      <name val="Calibri"/>
      <family val="2"/>
      <charset val="1"/>
    </font>
    <font>
      <b/>
      <sz val="14"/>
      <color theme="1"/>
      <name val="Calibri"/>
      <family val="2"/>
      <charset val="1"/>
    </font>
    <font>
      <sz val="9"/>
      <color theme="1"/>
      <name val="Calibri"/>
      <family val="2"/>
      <charset val="1"/>
    </font>
    <font>
      <sz val="9"/>
      <color rgb="FF333333"/>
      <name val="Calibri"/>
      <family val="2"/>
      <charset val="1"/>
    </font>
    <font>
      <b/>
      <sz val="10"/>
      <color rgb="FF375623"/>
      <name val="Calibri"/>
      <family val="2"/>
    </font>
    <font>
      <b/>
      <sz val="10"/>
      <color rgb="FF806000"/>
      <name val="Calibri"/>
      <family val="2"/>
    </font>
    <font>
      <b/>
      <sz val="10"/>
      <color rgb="FFCC0000"/>
      <name val="Calibri"/>
      <family val="2"/>
    </font>
    <font>
      <b/>
      <sz val="10"/>
      <color rgb="FF0000C0"/>
      <name val="Arial"/>
      <family val="2"/>
    </font>
    <font>
      <sz val="10"/>
      <color rgb="FF0000C0"/>
      <name val="Arial"/>
      <family val="2"/>
    </font>
    <font>
      <i/>
      <sz val="9"/>
      <color rgb="FF1F3864"/>
      <name val="Arial"/>
      <family val="2"/>
    </font>
    <font>
      <i/>
      <sz val="9"/>
      <color rgb="FF9C5700"/>
      <name val="Calibri"/>
      <family val="2"/>
      <charset val="1"/>
    </font>
    <font>
      <i/>
      <sz val="8"/>
      <color rgb="FF7F7F7F"/>
      <name val="Arial"/>
      <family val="2"/>
    </font>
    <font>
      <b/>
      <sz val="11"/>
      <color rgb="FFFFFFFF"/>
      <name val="Georgia"/>
      <family val="1"/>
    </font>
    <font>
      <b/>
      <sz val="11"/>
      <color rgb="FFF5C24C"/>
      <name val="Georgia"/>
      <family val="1"/>
    </font>
    <font>
      <i/>
      <sz val="10"/>
      <color rgb="FF000000"/>
      <name val="Arial"/>
      <family val="2"/>
    </font>
    <font>
      <i/>
      <sz val="10"/>
      <color rgb="FFBDD7EE"/>
      <name val="Georgia"/>
      <family val="1"/>
      <charset val="1"/>
    </font>
    <font>
      <sz val="11"/>
      <color theme="1"/>
      <name val="Georgia"/>
      <family val="1"/>
    </font>
    <font>
      <i/>
      <sz val="10"/>
      <color rgb="FF555555"/>
      <name val="Georgia"/>
      <family val="1"/>
    </font>
    <font>
      <sz val="11"/>
      <color rgb="FF000000"/>
      <name val="Arial"/>
      <family val="2"/>
    </font>
    <font>
      <i/>
      <sz val="10"/>
      <color rgb="FF1F3864"/>
      <name val="Georgia"/>
      <family val="1"/>
      <charset val="1"/>
    </font>
    <font>
      <b/>
      <sz val="11"/>
      <color rgb="FFFFFFFF"/>
      <name val="Georgia"/>
      <family val="1"/>
      <charset val="1"/>
    </font>
    <font>
      <b/>
      <sz val="20"/>
      <color rgb="FFF5C24C"/>
      <name val="Georgia"/>
      <family val="1"/>
      <charset val="1"/>
    </font>
    <font>
      <i/>
      <sz val="9"/>
      <color rgb="FF13315C"/>
      <name val="Georgia"/>
      <family val="1"/>
    </font>
    <font>
      <sz val="12"/>
      <color theme="1"/>
      <name val="Georgia"/>
      <family val="1"/>
    </font>
    <font>
      <sz val="10"/>
      <color theme="1"/>
      <name val="Georgia"/>
      <family val="1"/>
    </font>
    <font>
      <b/>
      <sz val="10"/>
      <color rgb="FF1F3864"/>
      <name val="Georgia"/>
      <family val="1"/>
    </font>
    <font>
      <sz val="10"/>
      <color rgb="FF1F3864"/>
      <name val="Arial"/>
      <family val="2"/>
    </font>
  </fonts>
  <fills count="37">
    <fill>
      <patternFill patternType="none"/>
    </fill>
    <fill>
      <patternFill patternType="gray125"/>
    </fill>
    <fill>
      <patternFill patternType="solid">
        <fgColor rgb="FF1F3864"/>
        <bgColor rgb="FF13315C"/>
      </patternFill>
    </fill>
    <fill>
      <patternFill patternType="solid">
        <fgColor rgb="FFFFFFFF"/>
        <bgColor rgb="FFF2F2F2"/>
      </patternFill>
    </fill>
    <fill>
      <patternFill patternType="solid">
        <fgColor rgb="FFFFEB9C"/>
        <bgColor rgb="FFFFF2CC"/>
      </patternFill>
    </fill>
    <fill>
      <patternFill patternType="solid">
        <fgColor rgb="FFF2F2F2"/>
        <bgColor rgb="FFEAF3FC"/>
      </patternFill>
    </fill>
    <fill>
      <patternFill patternType="solid">
        <fgColor rgb="FFFFF2CC"/>
        <bgColor rgb="FFF2F2F2"/>
      </patternFill>
    </fill>
    <fill>
      <patternFill patternType="solid">
        <fgColor rgb="FFFFC7CE"/>
        <bgColor rgb="FFE7E6E6"/>
      </patternFill>
    </fill>
    <fill>
      <patternFill patternType="solid">
        <fgColor rgb="FFC6EFCE"/>
        <bgColor rgb="FFE2EFDA"/>
      </patternFill>
    </fill>
    <fill>
      <patternFill patternType="solid">
        <fgColor rgb="FF0B2545"/>
        <bgColor rgb="FF13315C"/>
      </patternFill>
    </fill>
    <fill>
      <patternFill patternType="solid">
        <fgColor rgb="FF13315C"/>
        <bgColor rgb="FF1F3864"/>
      </patternFill>
    </fill>
    <fill>
      <patternFill patternType="solid">
        <fgColor rgb="FFE7EEF8"/>
        <bgColor rgb="FFE7F2FF"/>
      </patternFill>
    </fill>
    <fill>
      <patternFill patternType="solid">
        <fgColor rgb="FF305496"/>
        <bgColor rgb="FF2E75B6"/>
      </patternFill>
    </fill>
    <fill>
      <patternFill patternType="solid">
        <fgColor rgb="FFD9E1F2"/>
        <bgColor rgb="FFD6E4F0"/>
      </patternFill>
    </fill>
    <fill>
      <patternFill patternType="solid">
        <fgColor rgb="FFEAF3FC"/>
        <bgColor rgb="FFE7F2FF"/>
      </patternFill>
    </fill>
    <fill>
      <patternFill patternType="solid">
        <fgColor rgb="FF8EA9DB"/>
        <bgColor rgb="FF9DC3E6"/>
      </patternFill>
    </fill>
    <fill>
      <patternFill patternType="solid">
        <fgColor rgb="FFE7E6E6"/>
        <bgColor rgb="FFE2EFDA"/>
      </patternFill>
    </fill>
    <fill>
      <patternFill patternType="solid">
        <fgColor rgb="FFE7F2FF"/>
        <bgColor rgb="FFEAF3FC"/>
      </patternFill>
    </fill>
    <fill>
      <patternFill patternType="solid">
        <fgColor rgb="FFE2EFDA"/>
        <bgColor rgb="FFE7E6E6"/>
      </patternFill>
    </fill>
    <fill>
      <patternFill patternType="solid">
        <fgColor rgb="FFFFFFFF"/>
        <bgColor indexed="64"/>
      </patternFill>
    </fill>
    <fill>
      <patternFill patternType="solid">
        <fgColor rgb="FF0B2545"/>
        <bgColor indexed="64"/>
      </patternFill>
    </fill>
    <fill>
      <patternFill patternType="solid">
        <fgColor rgb="FFE7EEF8"/>
        <bgColor indexed="64"/>
      </patternFill>
    </fill>
    <fill>
      <patternFill patternType="solid">
        <fgColor rgb="FF13315C"/>
        <bgColor indexed="64"/>
      </patternFill>
    </fill>
    <fill>
      <patternFill patternType="solid">
        <fgColor rgb="FFF2F2F2"/>
        <bgColor indexed="64"/>
      </patternFill>
    </fill>
    <fill>
      <patternFill patternType="solid">
        <fgColor rgb="FF305496"/>
        <bgColor indexed="64"/>
      </patternFill>
    </fill>
    <fill>
      <patternFill patternType="solid">
        <fgColor rgb="FFD6E4F0"/>
        <bgColor indexed="64"/>
      </patternFill>
    </fill>
    <fill>
      <patternFill patternType="solid">
        <fgColor rgb="FFF5F8FC"/>
        <bgColor indexed="64"/>
      </patternFill>
    </fill>
    <fill>
      <patternFill patternType="solid">
        <fgColor rgb="FFE2EFDA"/>
        <bgColor indexed="64"/>
      </patternFill>
    </fill>
    <fill>
      <patternFill patternType="solid">
        <fgColor rgb="FFFFF2CC"/>
        <bgColor indexed="64"/>
      </patternFill>
    </fill>
    <fill>
      <patternFill patternType="solid">
        <fgColor rgb="FFFCE4EC"/>
        <bgColor indexed="64"/>
      </patternFill>
    </fill>
    <fill>
      <patternFill patternType="solid">
        <fgColor rgb="FFF0F6FF"/>
        <bgColor indexed="64"/>
      </patternFill>
    </fill>
    <fill>
      <patternFill patternType="solid">
        <fgColor rgb="FFF8F8F8"/>
        <bgColor indexed="64"/>
      </patternFill>
    </fill>
    <fill>
      <patternFill patternType="solid">
        <fgColor rgb="FFFFFF00"/>
        <bgColor indexed="64"/>
      </patternFill>
    </fill>
    <fill>
      <patternFill patternType="solid">
        <fgColor rgb="FFD9E1F2"/>
        <bgColor indexed="64"/>
      </patternFill>
    </fill>
    <fill>
      <patternFill patternType="solid">
        <fgColor rgb="FFDDEBF7"/>
        <bgColor indexed="64"/>
      </patternFill>
    </fill>
    <fill>
      <patternFill patternType="solid">
        <fgColor rgb="FF1F3864"/>
        <bgColor indexed="64"/>
      </patternFill>
    </fill>
    <fill>
      <patternFill patternType="solid">
        <fgColor rgb="FF8EA9DB"/>
        <bgColor indexed="64"/>
      </patternFill>
    </fill>
  </fills>
  <borders count="54">
    <border>
      <left/>
      <right/>
      <top/>
      <bottom/>
      <diagonal/>
    </border>
    <border>
      <left style="thin">
        <color rgb="FFB4C6E7"/>
      </left>
      <right style="thin">
        <color rgb="FFB4C6E7"/>
      </right>
      <top style="thin">
        <color rgb="FFB4C6E7"/>
      </top>
      <bottom style="thin">
        <color rgb="FFB4C6E7"/>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style="thin">
        <color rgb="FFBFBFBF"/>
      </bottom>
      <diagonal/>
    </border>
    <border>
      <left/>
      <right/>
      <top style="thick">
        <color rgb="FFF5C24C"/>
      </top>
      <bottom/>
      <diagonal/>
    </border>
    <border>
      <left/>
      <right/>
      <top/>
      <bottom style="thick">
        <color rgb="FFF5C24C"/>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right/>
      <top style="thin">
        <color rgb="FFBFBFBF"/>
      </top>
      <bottom/>
      <diagonal/>
    </border>
    <border>
      <left/>
      <right/>
      <top style="thin">
        <color auto="1"/>
      </top>
      <bottom style="thin">
        <color auto="1"/>
      </bottom>
      <diagonal/>
    </border>
    <border>
      <left style="thin">
        <color auto="1"/>
      </left>
      <right style="thin">
        <color rgb="FFCCCCCC"/>
      </right>
      <top style="thin">
        <color auto="1"/>
      </top>
      <bottom style="thin">
        <color rgb="FFCCCCCC"/>
      </bottom>
      <diagonal/>
    </border>
    <border>
      <left style="thin">
        <color auto="1"/>
      </left>
      <right style="thin">
        <color rgb="FFCCCCCC"/>
      </right>
      <top style="thin">
        <color auto="1"/>
      </top>
      <bottom style="thin">
        <color auto="1"/>
      </bottom>
      <diagonal/>
    </border>
    <border>
      <left style="thin">
        <color auto="1"/>
      </left>
      <right style="thin">
        <color rgb="FFCCCCCC"/>
      </right>
      <top style="thin">
        <color auto="1"/>
      </top>
      <bottom/>
      <diagonal/>
    </border>
    <border>
      <left style="thin">
        <color auto="1"/>
      </left>
      <right style="thin">
        <color rgb="FFCCCCCC"/>
      </right>
      <top style="thin">
        <color rgb="FFCCCCCC"/>
      </top>
      <bottom style="thin">
        <color auto="1"/>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right/>
      <top/>
      <bottom style="medium">
        <color rgb="FF1B2A4A"/>
      </bottom>
      <diagonal/>
    </border>
    <border>
      <left/>
      <right style="thin">
        <color rgb="FFDDDDDD"/>
      </right>
      <top/>
      <bottom style="medium">
        <color rgb="FF1B2A4A"/>
      </bottom>
      <diagonal/>
    </border>
    <border>
      <left style="thin">
        <color rgb="FFDDDDDD"/>
      </left>
      <right style="thin">
        <color rgb="FFDDDDDD"/>
      </right>
      <top/>
      <bottom style="medium">
        <color rgb="FF1B2A4A"/>
      </bottom>
      <diagonal/>
    </border>
    <border>
      <left style="thin">
        <color rgb="FFDDDDDD"/>
      </left>
      <right/>
      <top/>
      <bottom style="medium">
        <color rgb="FF1B2A4A"/>
      </bottom>
      <diagonal/>
    </border>
    <border>
      <left/>
      <right style="thin">
        <color rgb="FFCCCCCC"/>
      </right>
      <top/>
      <bottom style="thin">
        <color rgb="FFCCCCCC"/>
      </bottom>
      <diagonal/>
    </border>
    <border>
      <left/>
      <right style="thin">
        <color rgb="FFCCCCCC"/>
      </right>
      <top/>
      <bottom/>
      <diagonal/>
    </border>
    <border>
      <left/>
      <right style="thin">
        <color rgb="FFCCCCCC"/>
      </right>
      <top style="thin">
        <color rgb="FFCCCCCC"/>
      </top>
      <bottom/>
      <diagonal/>
    </border>
    <border>
      <left style="thin">
        <color rgb="FFBFBFBF"/>
      </left>
      <right/>
      <top style="thin">
        <color rgb="FFBFBFBF"/>
      </top>
      <bottom style="thin">
        <color rgb="FFBFBFBF"/>
      </bottom>
      <diagonal/>
    </border>
    <border>
      <left style="thin">
        <color rgb="FFBFBFBF"/>
      </left>
      <right/>
      <top/>
      <bottom/>
      <diagonal/>
    </border>
    <border>
      <left style="thin">
        <color rgb="FFBFBFBF"/>
      </left>
      <right/>
      <top style="thin">
        <color rgb="FFBFBFBF"/>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style="thin">
        <color rgb="FF5B9BD5"/>
      </top>
      <bottom/>
      <diagonal/>
    </border>
    <border>
      <left/>
      <right/>
      <top/>
      <bottom style="thin">
        <color rgb="FF5B9BD5"/>
      </bottom>
      <diagonal/>
    </border>
    <border>
      <left style="thin">
        <color rgb="FF5B9BD5"/>
      </left>
      <right/>
      <top style="thin">
        <color rgb="FF5B9BD5"/>
      </top>
      <bottom/>
      <diagonal/>
    </border>
    <border>
      <left style="thin">
        <color rgb="FF5B9BD5"/>
      </left>
      <right/>
      <top/>
      <bottom style="thin">
        <color rgb="FF5B9BD5"/>
      </bottom>
      <diagonal/>
    </border>
    <border>
      <left/>
      <right style="thin">
        <color rgb="FF5B9BD5"/>
      </right>
      <top style="thin">
        <color rgb="FF5B9BD5"/>
      </top>
      <bottom/>
      <diagonal/>
    </border>
    <border>
      <left/>
      <right style="thin">
        <color rgb="FF5B9BD5"/>
      </right>
      <top/>
      <bottom style="thin">
        <color rgb="FF5B9BD5"/>
      </bottom>
      <diagonal/>
    </border>
    <border>
      <left/>
      <right/>
      <top style="thin">
        <color rgb="FF70AD47"/>
      </top>
      <bottom/>
      <diagonal/>
    </border>
    <border>
      <left/>
      <right/>
      <top/>
      <bottom style="thin">
        <color rgb="FF70AD47"/>
      </bottom>
      <diagonal/>
    </border>
    <border>
      <left style="thin">
        <color rgb="FF70AD47"/>
      </left>
      <right/>
      <top style="thin">
        <color rgb="FF70AD47"/>
      </top>
      <bottom/>
      <diagonal/>
    </border>
    <border>
      <left style="thin">
        <color rgb="FF70AD47"/>
      </left>
      <right/>
      <top/>
      <bottom style="thin">
        <color rgb="FF70AD47"/>
      </bottom>
      <diagonal/>
    </border>
    <border>
      <left/>
      <right style="thin">
        <color rgb="FF70AD47"/>
      </right>
      <top style="thin">
        <color rgb="FF70AD47"/>
      </top>
      <bottom/>
      <diagonal/>
    </border>
    <border>
      <left/>
      <right style="thin">
        <color rgb="FF70AD47"/>
      </right>
      <top/>
      <bottom style="thin">
        <color rgb="FF70AD47"/>
      </bottom>
      <diagonal/>
    </border>
  </borders>
  <cellStyleXfs count="1">
    <xf numFmtId="0" fontId="0" fillId="0" borderId="0"/>
  </cellStyleXfs>
  <cellXfs count="378">
    <xf numFmtId="0" fontId="0" fillId="0" borderId="0" xfId="0"/>
    <xf numFmtId="0" fontId="16" fillId="11" borderId="0" xfId="0" applyFont="1" applyFill="1" applyAlignment="1">
      <alignment horizontal="left" vertical="center" wrapText="1"/>
    </xf>
    <xf numFmtId="0" fontId="15" fillId="9" borderId="6" xfId="0" applyFont="1" applyFill="1" applyBorder="1" applyAlignment="1">
      <alignment horizontal="center" vertical="center"/>
    </xf>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17" fillId="11" borderId="2" xfId="0" applyFont="1" applyFill="1" applyBorder="1" applyAlignment="1">
      <alignment horizontal="left" vertical="center"/>
    </xf>
    <xf numFmtId="164" fontId="11" fillId="6" borderId="2" xfId="0" applyNumberFormat="1" applyFont="1" applyFill="1" applyBorder="1" applyAlignment="1">
      <alignment horizontal="right" vertical="center"/>
    </xf>
    <xf numFmtId="0" fontId="9" fillId="0" borderId="2" xfId="0" applyFont="1" applyBorder="1" applyAlignment="1">
      <alignment horizontal="left" vertical="center"/>
    </xf>
    <xf numFmtId="0" fontId="13" fillId="0" borderId="2" xfId="0" applyFont="1" applyBorder="1" applyAlignment="1">
      <alignment horizontal="left" vertical="center" wrapText="1"/>
    </xf>
    <xf numFmtId="4" fontId="11" fillId="6" borderId="2" xfId="0" applyNumberFormat="1" applyFont="1" applyFill="1" applyBorder="1" applyAlignment="1">
      <alignment horizontal="right" vertical="center"/>
    </xf>
    <xf numFmtId="0" fontId="18" fillId="0" borderId="2" xfId="0" applyFont="1" applyBorder="1" applyAlignment="1">
      <alignment horizontal="left" vertical="center"/>
    </xf>
    <xf numFmtId="0" fontId="19" fillId="6" borderId="2" xfId="0" applyFont="1" applyFill="1" applyBorder="1" applyAlignment="1">
      <alignment horizontal="left" vertical="center" wrapText="1"/>
    </xf>
    <xf numFmtId="0" fontId="20" fillId="6" borderId="2" xfId="0" applyFont="1" applyFill="1" applyBorder="1" applyAlignment="1">
      <alignment horizontal="center" vertical="center"/>
    </xf>
    <xf numFmtId="3" fontId="11" fillId="6" borderId="2" xfId="0" applyNumberFormat="1" applyFont="1" applyFill="1" applyBorder="1" applyAlignment="1">
      <alignment horizontal="right" vertical="center"/>
    </xf>
    <xf numFmtId="0" fontId="17" fillId="11" borderId="2" xfId="0" applyFont="1" applyFill="1" applyBorder="1" applyAlignment="1">
      <alignment horizontal="left" vertical="center" indent="1"/>
    </xf>
    <xf numFmtId="0" fontId="18" fillId="0" borderId="0" xfId="0" applyFont="1" applyAlignment="1">
      <alignment horizontal="left" vertical="center"/>
    </xf>
    <xf numFmtId="0" fontId="19" fillId="0" borderId="0" xfId="0" applyFont="1" applyAlignment="1">
      <alignment horizontal="left" vertical="center" wrapText="1"/>
    </xf>
    <xf numFmtId="165" fontId="20" fillId="6" borderId="2" xfId="0" applyNumberFormat="1" applyFont="1" applyFill="1" applyBorder="1" applyAlignment="1">
      <alignment horizontal="right" vertical="center"/>
    </xf>
    <xf numFmtId="0" fontId="19" fillId="0" borderId="2" xfId="0" applyFont="1" applyBorder="1" applyAlignment="1">
      <alignment horizontal="left" vertical="center" wrapText="1"/>
    </xf>
    <xf numFmtId="165" fontId="11" fillId="6" borderId="2" xfId="0" applyNumberFormat="1" applyFont="1" applyFill="1" applyBorder="1" applyAlignment="1">
      <alignment horizontal="right" vertical="center"/>
    </xf>
    <xf numFmtId="0" fontId="22" fillId="2" borderId="2" xfId="0" applyFont="1" applyFill="1" applyBorder="1" applyAlignment="1">
      <alignment horizontal="center" vertical="center"/>
    </xf>
    <xf numFmtId="0" fontId="22" fillId="2" borderId="2" xfId="0" applyFont="1" applyFill="1" applyBorder="1" applyAlignment="1">
      <alignment horizontal="center" vertical="center" wrapText="1"/>
    </xf>
    <xf numFmtId="0" fontId="22" fillId="12" borderId="2" xfId="0" applyFont="1" applyFill="1" applyBorder="1" applyAlignment="1">
      <alignment horizontal="center" vertical="center" wrapText="1"/>
    </xf>
    <xf numFmtId="166" fontId="17" fillId="11" borderId="2" xfId="0" applyNumberFormat="1" applyFont="1" applyFill="1" applyBorder="1" applyAlignment="1">
      <alignment horizontal="right" vertical="center"/>
    </xf>
    <xf numFmtId="166" fontId="11" fillId="0" borderId="2" xfId="0" applyNumberFormat="1" applyFont="1" applyBorder="1" applyAlignment="1">
      <alignment horizontal="right" vertical="center"/>
    </xf>
    <xf numFmtId="0" fontId="20" fillId="11" borderId="2" xfId="0" applyFont="1" applyFill="1" applyBorder="1" applyAlignment="1">
      <alignment horizontal="center" vertical="center"/>
    </xf>
    <xf numFmtId="165" fontId="20" fillId="11" borderId="2" xfId="0" applyNumberFormat="1" applyFont="1" applyFill="1" applyBorder="1" applyAlignment="1">
      <alignment horizontal="right" vertical="center"/>
    </xf>
    <xf numFmtId="0" fontId="17" fillId="11" borderId="2" xfId="0" applyFont="1" applyFill="1" applyBorder="1" applyAlignment="1">
      <alignment horizontal="left" vertical="center" wrapText="1"/>
    </xf>
    <xf numFmtId="0" fontId="9" fillId="0" borderId="2" xfId="0" applyFont="1" applyBorder="1" applyAlignment="1">
      <alignment horizontal="left" vertical="center" wrapText="1"/>
    </xf>
    <xf numFmtId="0" fontId="11" fillId="6" borderId="2" xfId="0" applyFont="1" applyFill="1" applyBorder="1" applyAlignment="1">
      <alignment horizontal="center" vertical="center"/>
    </xf>
    <xf numFmtId="0" fontId="9" fillId="0" borderId="2" xfId="0" applyFont="1" applyBorder="1" applyAlignment="1">
      <alignment horizontal="center" vertical="center"/>
    </xf>
    <xf numFmtId="0" fontId="24" fillId="0" borderId="2" xfId="0" applyFont="1" applyBorder="1" applyAlignment="1">
      <alignment horizontal="center" vertical="center"/>
    </xf>
    <xf numFmtId="0" fontId="25" fillId="0" borderId="2" xfId="0" applyFont="1" applyBorder="1" applyAlignment="1">
      <alignment horizontal="center" vertical="center"/>
    </xf>
    <xf numFmtId="0" fontId="9" fillId="13" borderId="2" xfId="0" applyFont="1" applyFill="1" applyBorder="1" applyAlignment="1">
      <alignment horizontal="center" vertical="center"/>
    </xf>
    <xf numFmtId="0" fontId="26" fillId="2" borderId="2" xfId="0" applyFont="1" applyFill="1" applyBorder="1" applyAlignment="1">
      <alignment horizontal="center" vertical="center"/>
    </xf>
    <xf numFmtId="0" fontId="17" fillId="5" borderId="2" xfId="0" applyFont="1" applyFill="1" applyBorder="1" applyAlignment="1">
      <alignment horizontal="center" vertical="center"/>
    </xf>
    <xf numFmtId="0" fontId="11" fillId="5" borderId="2" xfId="0" applyFont="1" applyFill="1" applyBorder="1" applyAlignment="1">
      <alignment horizontal="left" vertical="center" wrapText="1" indent="1"/>
    </xf>
    <xf numFmtId="0" fontId="9" fillId="5" borderId="2" xfId="0" applyFont="1" applyFill="1" applyBorder="1" applyAlignment="1">
      <alignment horizontal="center" vertical="center" wrapText="1" indent="1"/>
    </xf>
    <xf numFmtId="0" fontId="9" fillId="5" borderId="2" xfId="0" applyFont="1" applyFill="1" applyBorder="1" applyAlignment="1">
      <alignment horizontal="left" vertical="center" wrapText="1" indent="1"/>
    </xf>
    <xf numFmtId="166" fontId="11" fillId="5" borderId="2" xfId="0" applyNumberFormat="1" applyFont="1" applyFill="1" applyBorder="1" applyAlignment="1">
      <alignment horizontal="right" vertical="center"/>
    </xf>
    <xf numFmtId="166" fontId="9" fillId="5" borderId="2" xfId="0" applyNumberFormat="1" applyFont="1" applyFill="1" applyBorder="1" applyAlignment="1">
      <alignment horizontal="right" vertical="center"/>
    </xf>
    <xf numFmtId="166" fontId="11" fillId="6" borderId="2" xfId="0" applyNumberFormat="1" applyFont="1" applyFill="1" applyBorder="1" applyAlignment="1">
      <alignment horizontal="right" vertical="center"/>
    </xf>
    <xf numFmtId="166" fontId="17" fillId="5" borderId="2" xfId="0" applyNumberFormat="1" applyFont="1" applyFill="1" applyBorder="1" applyAlignment="1">
      <alignment horizontal="right" vertical="center"/>
    </xf>
    <xf numFmtId="165" fontId="9" fillId="5" borderId="2" xfId="0" applyNumberFormat="1" applyFont="1" applyFill="1" applyBorder="1" applyAlignment="1">
      <alignment horizontal="right" vertical="center"/>
    </xf>
    <xf numFmtId="0" fontId="9" fillId="5" borderId="2" xfId="0" applyFont="1" applyFill="1" applyBorder="1" applyAlignment="1">
      <alignment horizontal="center" vertical="center"/>
    </xf>
    <xf numFmtId="165" fontId="11" fillId="5" borderId="2" xfId="0" applyNumberFormat="1" applyFont="1" applyFill="1" applyBorder="1" applyAlignment="1">
      <alignment horizontal="right" vertical="center"/>
    </xf>
    <xf numFmtId="3" fontId="11" fillId="5" borderId="2" xfId="0" applyNumberFormat="1" applyFont="1" applyFill="1" applyBorder="1" applyAlignment="1">
      <alignment horizontal="right" vertical="center"/>
    </xf>
    <xf numFmtId="164" fontId="9" fillId="5" borderId="2" xfId="0" applyNumberFormat="1" applyFont="1" applyFill="1" applyBorder="1" applyAlignment="1">
      <alignment horizontal="center" vertical="center"/>
    </xf>
    <xf numFmtId="164" fontId="11" fillId="5" borderId="2" xfId="0" applyNumberFormat="1" applyFont="1" applyFill="1" applyBorder="1" applyAlignment="1">
      <alignment horizontal="center" vertical="center"/>
    </xf>
    <xf numFmtId="0" fontId="13" fillId="5" borderId="2" xfId="0" applyFont="1" applyFill="1" applyBorder="1" applyAlignment="1">
      <alignment horizontal="left" vertical="center" wrapText="1" indent="1"/>
    </xf>
    <xf numFmtId="0" fontId="17" fillId="3" borderId="2" xfId="0" applyFont="1" applyFill="1" applyBorder="1" applyAlignment="1">
      <alignment horizontal="center" vertical="center"/>
    </xf>
    <xf numFmtId="0" fontId="11" fillId="3" borderId="2" xfId="0" applyFont="1" applyFill="1" applyBorder="1" applyAlignment="1">
      <alignment horizontal="left" vertical="center" wrapText="1" indent="1"/>
    </xf>
    <xf numFmtId="0" fontId="9" fillId="3" borderId="2" xfId="0" applyFont="1" applyFill="1" applyBorder="1" applyAlignment="1">
      <alignment horizontal="center" vertical="center" wrapText="1" indent="1"/>
    </xf>
    <xf numFmtId="0" fontId="9" fillId="3" borderId="2" xfId="0" applyFont="1" applyFill="1" applyBorder="1" applyAlignment="1">
      <alignment horizontal="left" vertical="center" wrapText="1" indent="1"/>
    </xf>
    <xf numFmtId="166" fontId="11" fillId="3" borderId="2" xfId="0" applyNumberFormat="1" applyFont="1" applyFill="1" applyBorder="1" applyAlignment="1">
      <alignment horizontal="right" vertical="center"/>
    </xf>
    <xf numFmtId="166" fontId="9" fillId="3" borderId="2" xfId="0" applyNumberFormat="1" applyFont="1" applyFill="1" applyBorder="1" applyAlignment="1">
      <alignment horizontal="right" vertical="center"/>
    </xf>
    <xf numFmtId="166" fontId="17" fillId="3" borderId="2" xfId="0" applyNumberFormat="1" applyFont="1" applyFill="1" applyBorder="1" applyAlignment="1">
      <alignment horizontal="right" vertical="center"/>
    </xf>
    <xf numFmtId="165" fontId="9" fillId="3" borderId="2" xfId="0" applyNumberFormat="1" applyFont="1" applyFill="1" applyBorder="1" applyAlignment="1">
      <alignment horizontal="right" vertical="center"/>
    </xf>
    <xf numFmtId="0" fontId="9" fillId="3" borderId="2" xfId="0" applyFont="1" applyFill="1" applyBorder="1" applyAlignment="1">
      <alignment horizontal="center" vertical="center"/>
    </xf>
    <xf numFmtId="165" fontId="11" fillId="3" borderId="2" xfId="0" applyNumberFormat="1" applyFont="1" applyFill="1" applyBorder="1" applyAlignment="1">
      <alignment horizontal="right" vertical="center"/>
    </xf>
    <xf numFmtId="3" fontId="11" fillId="3" borderId="2" xfId="0" applyNumberFormat="1" applyFont="1" applyFill="1" applyBorder="1" applyAlignment="1">
      <alignment horizontal="right" vertical="center"/>
    </xf>
    <xf numFmtId="164" fontId="9" fillId="3" borderId="2" xfId="0" applyNumberFormat="1" applyFont="1" applyFill="1" applyBorder="1" applyAlignment="1">
      <alignment horizontal="center" vertical="center"/>
    </xf>
    <xf numFmtId="164" fontId="11" fillId="3" borderId="2" xfId="0" applyNumberFormat="1" applyFont="1" applyFill="1" applyBorder="1" applyAlignment="1">
      <alignment horizontal="center" vertical="center"/>
    </xf>
    <xf numFmtId="0" fontId="13" fillId="3" borderId="2" xfId="0" applyFont="1" applyFill="1" applyBorder="1" applyAlignment="1">
      <alignment horizontal="left" vertical="center" wrapText="1" indent="1"/>
    </xf>
    <xf numFmtId="0" fontId="11" fillId="5" borderId="2" xfId="0" applyFont="1" applyFill="1" applyBorder="1" applyAlignment="1">
      <alignment horizontal="center" vertical="center"/>
    </xf>
    <xf numFmtId="0" fontId="11" fillId="3" borderId="2" xfId="0" applyFont="1" applyFill="1" applyBorder="1" applyAlignment="1">
      <alignment horizontal="center" vertical="center"/>
    </xf>
    <xf numFmtId="0" fontId="0" fillId="13" borderId="2" xfId="0" applyFill="1" applyBorder="1"/>
    <xf numFmtId="166" fontId="17" fillId="13" borderId="2" xfId="0" applyNumberFormat="1" applyFont="1" applyFill="1" applyBorder="1" applyAlignment="1">
      <alignment horizontal="right" vertical="center"/>
    </xf>
    <xf numFmtId="165" fontId="17" fillId="13" borderId="2" xfId="0" applyNumberFormat="1" applyFont="1" applyFill="1" applyBorder="1" applyAlignment="1">
      <alignment horizontal="right" vertical="center"/>
    </xf>
    <xf numFmtId="0" fontId="17" fillId="11" borderId="2" xfId="0" applyFont="1" applyFill="1" applyBorder="1" applyAlignment="1">
      <alignment horizontal="center" vertical="center"/>
    </xf>
    <xf numFmtId="0" fontId="28" fillId="11" borderId="2" xfId="0" applyFont="1" applyFill="1" applyBorder="1" applyAlignment="1">
      <alignment horizontal="left" vertical="center" indent="1"/>
    </xf>
    <xf numFmtId="166" fontId="24" fillId="0" borderId="2" xfId="0" applyNumberFormat="1" applyFont="1" applyBorder="1" applyAlignment="1">
      <alignment horizontal="right" vertical="center"/>
    </xf>
    <xf numFmtId="166" fontId="9" fillId="0" borderId="2" xfId="0" applyNumberFormat="1" applyFont="1" applyBorder="1" applyAlignment="1">
      <alignment horizontal="right" vertical="center"/>
    </xf>
    <xf numFmtId="165" fontId="9" fillId="0" borderId="2" xfId="0" applyNumberFormat="1" applyFont="1" applyBorder="1" applyAlignment="1">
      <alignment horizontal="right" vertical="center"/>
    </xf>
    <xf numFmtId="164" fontId="9" fillId="0" borderId="2" xfId="0" applyNumberFormat="1" applyFont="1" applyBorder="1" applyAlignment="1">
      <alignment horizontal="right" vertical="center"/>
    </xf>
    <xf numFmtId="3" fontId="9" fillId="0" borderId="2" xfId="0" applyNumberFormat="1" applyFont="1" applyBorder="1" applyAlignment="1">
      <alignment horizontal="right" vertical="center"/>
    </xf>
    <xf numFmtId="164" fontId="17" fillId="13" borderId="2" xfId="0" applyNumberFormat="1" applyFont="1" applyFill="1" applyBorder="1" applyAlignment="1">
      <alignment horizontal="right" vertical="center"/>
    </xf>
    <xf numFmtId="3" fontId="17" fillId="13" borderId="2" xfId="0" applyNumberFormat="1" applyFont="1" applyFill="1" applyBorder="1" applyAlignment="1">
      <alignment horizontal="right" vertical="center"/>
    </xf>
    <xf numFmtId="0" fontId="24" fillId="0" borderId="2" xfId="0" applyFont="1" applyBorder="1" applyAlignment="1">
      <alignment horizontal="left" vertical="center" indent="1"/>
    </xf>
    <xf numFmtId="0" fontId="24" fillId="0" borderId="2" xfId="0" applyFont="1" applyBorder="1" applyAlignment="1">
      <alignment horizontal="left" vertical="center" wrapText="1" indent="1"/>
    </xf>
    <xf numFmtId="165" fontId="24" fillId="0" borderId="2" xfId="0" applyNumberFormat="1" applyFont="1" applyBorder="1" applyAlignment="1">
      <alignment horizontal="right" vertical="center"/>
    </xf>
    <xf numFmtId="3" fontId="24" fillId="0" borderId="2" xfId="0" applyNumberFormat="1" applyFont="1" applyBorder="1" applyAlignment="1">
      <alignment horizontal="right" vertical="center"/>
    </xf>
    <xf numFmtId="164" fontId="24" fillId="0" borderId="2" xfId="0" applyNumberFormat="1" applyFont="1" applyBorder="1" applyAlignment="1">
      <alignment horizontal="right" vertical="center"/>
    </xf>
    <xf numFmtId="166" fontId="28" fillId="11" borderId="2" xfId="0" applyNumberFormat="1" applyFont="1" applyFill="1" applyBorder="1" applyAlignment="1">
      <alignment horizontal="center" vertical="center"/>
    </xf>
    <xf numFmtId="164" fontId="28" fillId="11" borderId="2" xfId="0" applyNumberFormat="1" applyFont="1" applyFill="1" applyBorder="1" applyAlignment="1">
      <alignment horizontal="center" vertical="center"/>
    </xf>
    <xf numFmtId="3" fontId="28" fillId="11" borderId="2" xfId="0" applyNumberFormat="1" applyFont="1" applyFill="1" applyBorder="1" applyAlignment="1">
      <alignment horizontal="center" vertical="center"/>
    </xf>
    <xf numFmtId="165" fontId="28" fillId="11" borderId="2" xfId="0" applyNumberFormat="1" applyFont="1" applyFill="1" applyBorder="1" applyAlignment="1">
      <alignment horizontal="center" vertical="center"/>
    </xf>
    <xf numFmtId="0" fontId="18" fillId="5" borderId="2" xfId="0" applyFont="1" applyFill="1" applyBorder="1" applyAlignment="1">
      <alignment horizontal="center" vertical="center"/>
    </xf>
    <xf numFmtId="165" fontId="24" fillId="5" borderId="2" xfId="0" applyNumberFormat="1" applyFont="1" applyFill="1" applyBorder="1" applyAlignment="1">
      <alignment horizontal="right" vertical="center"/>
    </xf>
    <xf numFmtId="3" fontId="9" fillId="5" borderId="2" xfId="0" applyNumberFormat="1" applyFont="1" applyFill="1" applyBorder="1" applyAlignment="1">
      <alignment horizontal="right" vertical="center"/>
    </xf>
    <xf numFmtId="0" fontId="18" fillId="3" borderId="2" xfId="0" applyFont="1" applyFill="1" applyBorder="1" applyAlignment="1">
      <alignment horizontal="center" vertical="center"/>
    </xf>
    <xf numFmtId="165" fontId="24" fillId="3" borderId="2" xfId="0" applyNumberFormat="1" applyFont="1" applyFill="1" applyBorder="1" applyAlignment="1">
      <alignment horizontal="right" vertical="center"/>
    </xf>
    <xf numFmtId="3" fontId="9" fillId="3" borderId="2" xfId="0" applyNumberFormat="1" applyFont="1" applyFill="1" applyBorder="1" applyAlignment="1">
      <alignment horizontal="right" vertical="center"/>
    </xf>
    <xf numFmtId="0" fontId="31" fillId="11" borderId="2" xfId="0" applyFont="1" applyFill="1" applyBorder="1" applyAlignment="1">
      <alignment horizontal="center" vertical="center"/>
    </xf>
    <xf numFmtId="0" fontId="31" fillId="5" borderId="2" xfId="0" applyFont="1" applyFill="1" applyBorder="1" applyAlignment="1">
      <alignment horizontal="center" vertical="center"/>
    </xf>
    <xf numFmtId="166" fontId="17" fillId="0" borderId="2" xfId="0" applyNumberFormat="1" applyFont="1" applyBorder="1" applyAlignment="1">
      <alignment horizontal="right" vertical="center"/>
    </xf>
    <xf numFmtId="0" fontId="31" fillId="3" borderId="2" xfId="0" applyFont="1" applyFill="1" applyBorder="1" applyAlignment="1">
      <alignment horizontal="center" vertical="center"/>
    </xf>
    <xf numFmtId="0" fontId="20" fillId="5" borderId="2" xfId="0" applyFont="1" applyFill="1" applyBorder="1" applyAlignment="1">
      <alignment horizontal="left" vertical="center" indent="1"/>
    </xf>
    <xf numFmtId="0" fontId="9" fillId="5" borderId="2" xfId="0" applyFont="1" applyFill="1" applyBorder="1" applyAlignment="1">
      <alignment horizontal="left" vertical="center" wrapText="1"/>
    </xf>
    <xf numFmtId="167" fontId="9" fillId="5" borderId="2" xfId="0" applyNumberFormat="1" applyFont="1" applyFill="1" applyBorder="1" applyAlignment="1">
      <alignment horizontal="right" vertical="center"/>
    </xf>
    <xf numFmtId="0" fontId="13" fillId="5" borderId="2" xfId="0" applyFont="1" applyFill="1" applyBorder="1" applyAlignment="1">
      <alignment horizontal="left" vertical="center" wrapText="1"/>
    </xf>
    <xf numFmtId="0" fontId="20" fillId="3" borderId="2" xfId="0" applyFont="1" applyFill="1" applyBorder="1" applyAlignment="1">
      <alignment horizontal="left" vertical="center" indent="1"/>
    </xf>
    <xf numFmtId="0" fontId="9" fillId="3" borderId="2" xfId="0" applyFont="1" applyFill="1" applyBorder="1" applyAlignment="1">
      <alignment horizontal="left" vertical="center" wrapText="1"/>
    </xf>
    <xf numFmtId="167" fontId="9" fillId="3" borderId="2" xfId="0" applyNumberFormat="1" applyFont="1" applyFill="1" applyBorder="1" applyAlignment="1">
      <alignment horizontal="right" vertical="center"/>
    </xf>
    <xf numFmtId="0" fontId="13" fillId="3" borderId="2" xfId="0" applyFont="1" applyFill="1" applyBorder="1" applyAlignment="1">
      <alignment horizontal="left" vertical="center" wrapText="1"/>
    </xf>
    <xf numFmtId="0" fontId="9" fillId="6" borderId="2" xfId="0" applyFont="1" applyFill="1" applyBorder="1" applyAlignment="1">
      <alignment vertical="top" wrapText="1"/>
    </xf>
    <xf numFmtId="0" fontId="20" fillId="5" borderId="2" xfId="0" applyFont="1" applyFill="1" applyBorder="1" applyAlignment="1">
      <alignment horizontal="left" vertical="center" wrapText="1" indent="1"/>
    </xf>
    <xf numFmtId="0" fontId="20" fillId="3" borderId="2" xfId="0" applyFont="1" applyFill="1" applyBorder="1" applyAlignment="1">
      <alignment horizontal="left" vertical="center" wrapText="1" indent="1"/>
    </xf>
    <xf numFmtId="168" fontId="9" fillId="5" borderId="2" xfId="0" applyNumberFormat="1" applyFont="1" applyFill="1" applyBorder="1" applyAlignment="1">
      <alignment horizontal="right" vertical="center"/>
    </xf>
    <xf numFmtId="168" fontId="9" fillId="3" borderId="2" xfId="0" applyNumberFormat="1" applyFont="1" applyFill="1" applyBorder="1" applyAlignment="1">
      <alignment horizontal="right" vertical="center"/>
    </xf>
    <xf numFmtId="0" fontId="33" fillId="5" borderId="0" xfId="0" applyFont="1" applyFill="1"/>
    <xf numFmtId="0" fontId="34" fillId="5" borderId="0" xfId="0" applyFont="1" applyFill="1"/>
    <xf numFmtId="0" fontId="35" fillId="5" borderId="0" xfId="0" applyFont="1" applyFill="1"/>
    <xf numFmtId="169" fontId="11" fillId="6" borderId="2" xfId="0" applyNumberFormat="1" applyFont="1" applyFill="1" applyBorder="1" applyAlignment="1">
      <alignment horizontal="right" vertical="center"/>
    </xf>
    <xf numFmtId="167" fontId="17" fillId="11" borderId="2" xfId="0" applyNumberFormat="1" applyFont="1" applyFill="1" applyBorder="1" applyAlignment="1">
      <alignment horizontal="right" vertical="center"/>
    </xf>
    <xf numFmtId="10" fontId="5" fillId="3" borderId="1" xfId="0" applyNumberFormat="1" applyFont="1" applyFill="1" applyBorder="1" applyAlignment="1">
      <alignment horizontal="center" vertical="center" wrapText="1"/>
    </xf>
    <xf numFmtId="10" fontId="5" fillId="5" borderId="1" xfId="0" applyNumberFormat="1" applyFont="1" applyFill="1" applyBorder="1" applyAlignment="1">
      <alignment horizontal="center" vertical="center" wrapText="1"/>
    </xf>
    <xf numFmtId="0" fontId="36" fillId="0" borderId="0" xfId="0" applyFont="1"/>
    <xf numFmtId="0" fontId="37" fillId="0" borderId="0" xfId="0" applyFont="1"/>
    <xf numFmtId="164" fontId="0" fillId="0" borderId="0" xfId="0" applyNumberFormat="1"/>
    <xf numFmtId="0" fontId="36" fillId="8" borderId="0" xfId="0" applyFont="1" applyFill="1"/>
    <xf numFmtId="0" fontId="0" fillId="19" borderId="0" xfId="0" applyFill="1"/>
    <xf numFmtId="0" fontId="40" fillId="22" borderId="9"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23" borderId="2" xfId="0" applyFont="1" applyFill="1" applyBorder="1" applyAlignment="1">
      <alignment horizontal="center" vertical="center" wrapText="1"/>
    </xf>
    <xf numFmtId="10" fontId="5" fillId="23" borderId="2" xfId="0" applyNumberFormat="1" applyFont="1" applyFill="1" applyBorder="1" applyAlignment="1">
      <alignment horizontal="center" vertical="center" wrapText="1"/>
    </xf>
    <xf numFmtId="0" fontId="5" fillId="19" borderId="2" xfId="0" applyFont="1" applyFill="1" applyBorder="1" applyAlignment="1">
      <alignment horizontal="center" vertical="center" wrapText="1"/>
    </xf>
    <xf numFmtId="10" fontId="5" fillId="19" borderId="2" xfId="0" applyNumberFormat="1" applyFont="1" applyFill="1" applyBorder="1" applyAlignment="1">
      <alignment horizontal="center" vertical="center" wrapText="1"/>
    </xf>
    <xf numFmtId="165" fontId="5" fillId="19" borderId="2" xfId="0" applyNumberFormat="1" applyFont="1" applyFill="1" applyBorder="1" applyAlignment="1">
      <alignment horizontal="center" vertical="center" wrapText="1"/>
    </xf>
    <xf numFmtId="165" fontId="5" fillId="23" borderId="2" xfId="0" applyNumberFormat="1" applyFont="1" applyFill="1" applyBorder="1" applyAlignment="1">
      <alignment horizontal="center" vertical="center" wrapText="1"/>
    </xf>
    <xf numFmtId="0" fontId="0" fillId="0" borderId="10" xfId="0" applyBorder="1"/>
    <xf numFmtId="0" fontId="5" fillId="5" borderId="9" xfId="0" applyFont="1" applyFill="1" applyBorder="1" applyAlignment="1">
      <alignment horizontal="center" vertical="center" wrapText="1"/>
    </xf>
    <xf numFmtId="0" fontId="5" fillId="19" borderId="9" xfId="0" applyFont="1" applyFill="1" applyBorder="1" applyAlignment="1">
      <alignment horizontal="center" vertical="center" wrapText="1"/>
    </xf>
    <xf numFmtId="10" fontId="5" fillId="19" borderId="9" xfId="0" applyNumberFormat="1" applyFont="1" applyFill="1" applyBorder="1" applyAlignment="1">
      <alignment horizontal="center" vertical="center" wrapText="1"/>
    </xf>
    <xf numFmtId="0" fontId="41" fillId="24" borderId="0" xfId="0" applyFont="1" applyFill="1"/>
    <xf numFmtId="0" fontId="0" fillId="24" borderId="0" xfId="0" applyFill="1"/>
    <xf numFmtId="0" fontId="42" fillId="0" borderId="2" xfId="0" applyFont="1" applyBorder="1"/>
    <xf numFmtId="0" fontId="0" fillId="0" borderId="2" xfId="0" applyBorder="1"/>
    <xf numFmtId="0" fontId="43" fillId="0" borderId="2" xfId="0" applyFont="1" applyBorder="1" applyAlignment="1">
      <alignment horizontal="center"/>
    </xf>
    <xf numFmtId="0" fontId="44" fillId="16" borderId="0" xfId="0" applyFont="1" applyFill="1" applyAlignment="1">
      <alignment horizontal="right" vertical="center"/>
    </xf>
    <xf numFmtId="0" fontId="45" fillId="0" borderId="0" xfId="0" applyFont="1" applyAlignment="1">
      <alignment horizontal="right" vertical="center"/>
    </xf>
    <xf numFmtId="0" fontId="46" fillId="6" borderId="7" xfId="0" applyFont="1" applyFill="1" applyBorder="1" applyAlignment="1">
      <alignment horizontal="center" vertical="center"/>
    </xf>
    <xf numFmtId="0" fontId="47" fillId="17" borderId="0" xfId="0" applyFont="1" applyFill="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73" fontId="48" fillId="0" borderId="0" xfId="0" applyNumberFormat="1" applyFont="1" applyAlignment="1">
      <alignment horizontal="center" vertical="center"/>
    </xf>
    <xf numFmtId="175" fontId="48" fillId="0" borderId="0" xfId="0" applyNumberFormat="1" applyFont="1" applyAlignment="1">
      <alignment horizontal="right" vertical="center"/>
    </xf>
    <xf numFmtId="175" fontId="44" fillId="0" borderId="0" xfId="0" applyNumberFormat="1" applyFont="1" applyAlignment="1">
      <alignment horizontal="right" vertical="center"/>
    </xf>
    <xf numFmtId="168" fontId="48" fillId="0" borderId="0" xfId="0" applyNumberFormat="1" applyFont="1" applyAlignment="1">
      <alignment horizontal="center" vertical="center"/>
    </xf>
    <xf numFmtId="0" fontId="45" fillId="5" borderId="0" xfId="0" applyFont="1" applyFill="1" applyAlignment="1">
      <alignment horizontal="left" vertical="center" indent="1"/>
    </xf>
    <xf numFmtId="171" fontId="45" fillId="0" borderId="0" xfId="0" applyNumberFormat="1" applyFont="1" applyAlignment="1">
      <alignment horizontal="center" vertical="center"/>
    </xf>
    <xf numFmtId="0" fontId="50" fillId="0" borderId="0" xfId="0" applyFont="1"/>
    <xf numFmtId="0" fontId="48" fillId="0" borderId="0" xfId="0" applyFont="1" applyAlignment="1">
      <alignment horizontal="left" vertical="center"/>
    </xf>
    <xf numFmtId="176" fontId="45" fillId="0" borderId="0" xfId="0" applyNumberFormat="1" applyFont="1" applyAlignment="1">
      <alignment horizontal="center" vertical="center"/>
    </xf>
    <xf numFmtId="2" fontId="48" fillId="0" borderId="0" xfId="0" applyNumberFormat="1" applyFont="1" applyAlignment="1">
      <alignment horizontal="center" vertical="center"/>
    </xf>
    <xf numFmtId="0" fontId="45" fillId="0" borderId="0" xfId="0" applyFont="1" applyAlignment="1">
      <alignment horizontal="left" vertical="center"/>
    </xf>
    <xf numFmtId="0" fontId="45" fillId="5" borderId="0" xfId="0" applyFont="1" applyFill="1" applyAlignment="1">
      <alignment horizontal="center" vertical="center"/>
    </xf>
    <xf numFmtId="0" fontId="45" fillId="0" borderId="0" xfId="0" applyFont="1" applyAlignment="1">
      <alignment horizontal="left" vertical="center" indent="1"/>
    </xf>
    <xf numFmtId="0" fontId="44" fillId="13" borderId="0" xfId="0" applyFont="1" applyFill="1" applyAlignment="1">
      <alignment horizontal="center" vertical="center"/>
    </xf>
    <xf numFmtId="0" fontId="62" fillId="25" borderId="0" xfId="0" applyFont="1" applyFill="1" applyAlignment="1">
      <alignment horizontal="center" vertical="center"/>
    </xf>
    <xf numFmtId="0" fontId="63" fillId="18" borderId="2" xfId="0" applyFont="1" applyFill="1" applyBorder="1" applyAlignment="1">
      <alignment horizontal="center" vertical="center"/>
    </xf>
    <xf numFmtId="0" fontId="64" fillId="6" borderId="2" xfId="0" applyFont="1" applyFill="1" applyBorder="1" applyAlignment="1">
      <alignment horizontal="center" vertical="center"/>
    </xf>
    <xf numFmtId="0" fontId="65" fillId="14" borderId="2" xfId="0" applyFont="1" applyFill="1" applyBorder="1" applyAlignment="1">
      <alignment horizontal="center" vertical="center"/>
    </xf>
    <xf numFmtId="0" fontId="66" fillId="14" borderId="0" xfId="0" applyFont="1" applyFill="1" applyAlignment="1">
      <alignment horizontal="center" vertical="center"/>
    </xf>
    <xf numFmtId="0" fontId="68" fillId="0" borderId="0" xfId="0" applyFont="1"/>
    <xf numFmtId="0" fontId="69" fillId="0" borderId="0" xfId="0" applyFont="1"/>
    <xf numFmtId="0" fontId="70" fillId="0" borderId="0" xfId="0" applyFont="1"/>
    <xf numFmtId="0" fontId="0" fillId="0" borderId="17" xfId="0" applyBorder="1"/>
    <xf numFmtId="0" fontId="0" fillId="0" borderId="18" xfId="0" applyBorder="1"/>
    <xf numFmtId="0" fontId="0" fillId="0" borderId="22" xfId="0" applyBorder="1"/>
    <xf numFmtId="174" fontId="0" fillId="0" borderId="23" xfId="0" applyNumberFormat="1" applyBorder="1"/>
    <xf numFmtId="0" fontId="0" fillId="0" borderId="24" xfId="0" applyBorder="1"/>
    <xf numFmtId="173" fontId="0" fillId="0" borderId="23" xfId="0" applyNumberFormat="1" applyBorder="1"/>
    <xf numFmtId="49" fontId="0" fillId="0" borderId="23" xfId="0" applyNumberFormat="1" applyBorder="1"/>
    <xf numFmtId="0" fontId="0" fillId="0" borderId="25" xfId="0" applyBorder="1"/>
    <xf numFmtId="174" fontId="0" fillId="0" borderId="26" xfId="0" applyNumberFormat="1" applyBorder="1"/>
    <xf numFmtId="0" fontId="0" fillId="0" borderId="27" xfId="0" applyBorder="1"/>
    <xf numFmtId="0" fontId="0" fillId="0" borderId="19" xfId="0" applyBorder="1"/>
    <xf numFmtId="174" fontId="0" fillId="0" borderId="20" xfId="0" applyNumberFormat="1" applyBorder="1"/>
    <xf numFmtId="0" fontId="0" fillId="0" borderId="21" xfId="0" applyBorder="1"/>
    <xf numFmtId="0" fontId="67" fillId="25" borderId="29" xfId="0" applyFont="1" applyFill="1" applyBorder="1"/>
    <xf numFmtId="0" fontId="67" fillId="25" borderId="30" xfId="0" applyFont="1" applyFill="1" applyBorder="1"/>
    <xf numFmtId="0" fontId="67" fillId="25" borderId="31" xfId="0" applyFont="1" applyFill="1" applyBorder="1"/>
    <xf numFmtId="0" fontId="73" fillId="26" borderId="17" xfId="0" applyFont="1" applyFill="1" applyBorder="1"/>
    <xf numFmtId="174" fontId="71" fillId="26" borderId="17" xfId="0" applyNumberFormat="1" applyFont="1" applyFill="1" applyBorder="1"/>
    <xf numFmtId="0" fontId="0" fillId="26" borderId="17" xfId="0" applyFill="1" applyBorder="1"/>
    <xf numFmtId="0" fontId="74" fillId="26" borderId="17" xfId="0" applyFont="1" applyFill="1" applyBorder="1"/>
    <xf numFmtId="0" fontId="73" fillId="0" borderId="17" xfId="0" applyFont="1" applyBorder="1"/>
    <xf numFmtId="171" fontId="71" fillId="0" borderId="17" xfId="0" applyNumberFormat="1" applyFont="1" applyBorder="1"/>
    <xf numFmtId="0" fontId="74" fillId="0" borderId="17" xfId="0" applyFont="1" applyBorder="1"/>
    <xf numFmtId="0" fontId="71" fillId="0" borderId="17" xfId="0" applyFont="1" applyBorder="1"/>
    <xf numFmtId="173" fontId="71" fillId="26" borderId="17" xfId="0" applyNumberFormat="1" applyFont="1" applyFill="1" applyBorder="1"/>
    <xf numFmtId="0" fontId="73" fillId="0" borderId="18" xfId="0" applyFont="1" applyBorder="1"/>
    <xf numFmtId="0" fontId="72" fillId="0" borderId="18" xfId="0" applyFont="1" applyBorder="1"/>
    <xf numFmtId="0" fontId="74" fillId="0" borderId="18" xfId="0" applyFont="1" applyBorder="1"/>
    <xf numFmtId="0" fontId="73" fillId="26" borderId="16" xfId="0" applyFont="1" applyFill="1" applyBorder="1"/>
    <xf numFmtId="174" fontId="71" fillId="26" borderId="16" xfId="0" applyNumberFormat="1" applyFont="1" applyFill="1" applyBorder="1"/>
    <xf numFmtId="0" fontId="0" fillId="26" borderId="16" xfId="0" applyFill="1" applyBorder="1"/>
    <xf numFmtId="0" fontId="74" fillId="26" borderId="16" xfId="0" applyFont="1" applyFill="1" applyBorder="1"/>
    <xf numFmtId="0" fontId="67" fillId="25" borderId="28" xfId="0" applyFont="1" applyFill="1" applyBorder="1"/>
    <xf numFmtId="0" fontId="17" fillId="11" borderId="9" xfId="0" applyFont="1" applyFill="1" applyBorder="1" applyAlignment="1">
      <alignment horizontal="left" vertical="center"/>
    </xf>
    <xf numFmtId="166" fontId="17" fillId="11" borderId="9" xfId="0" applyNumberFormat="1" applyFont="1" applyFill="1" applyBorder="1" applyAlignment="1">
      <alignment horizontal="right" vertical="center"/>
    </xf>
    <xf numFmtId="166" fontId="11" fillId="0" borderId="9" xfId="0" applyNumberFormat="1" applyFont="1" applyBorder="1" applyAlignment="1">
      <alignment horizontal="right" vertical="center"/>
    </xf>
    <xf numFmtId="0" fontId="36" fillId="21" borderId="2" xfId="0" applyFont="1" applyFill="1" applyBorder="1" applyAlignment="1">
      <alignment horizontal="left" vertical="center"/>
    </xf>
    <xf numFmtId="166" fontId="78" fillId="32" borderId="2" xfId="0" applyNumberFormat="1" applyFont="1" applyFill="1" applyBorder="1" applyAlignment="1">
      <alignment horizontal="right" vertical="center"/>
    </xf>
    <xf numFmtId="166" fontId="79" fillId="0" borderId="2" xfId="0" applyNumberFormat="1" applyFont="1" applyBorder="1" applyAlignment="1">
      <alignment horizontal="right" vertical="center"/>
    </xf>
    <xf numFmtId="0" fontId="36" fillId="21" borderId="9" xfId="0" applyFont="1" applyFill="1" applyBorder="1" applyAlignment="1">
      <alignment horizontal="left" vertical="center"/>
    </xf>
    <xf numFmtId="166" fontId="78" fillId="32" borderId="9" xfId="0" applyNumberFormat="1" applyFont="1" applyFill="1" applyBorder="1" applyAlignment="1">
      <alignment horizontal="right" vertical="center"/>
    </xf>
    <xf numFmtId="166" fontId="79" fillId="0" borderId="9" xfId="0" applyNumberFormat="1" applyFont="1" applyBorder="1" applyAlignment="1">
      <alignment horizontal="right" vertical="center"/>
    </xf>
    <xf numFmtId="0" fontId="13" fillId="0" borderId="35" xfId="0" applyFont="1" applyBorder="1" applyAlignment="1">
      <alignment horizontal="left" vertical="center" wrapText="1"/>
    </xf>
    <xf numFmtId="0" fontId="0" fillId="13" borderId="35" xfId="0" applyFill="1" applyBorder="1"/>
    <xf numFmtId="177" fontId="42" fillId="0" borderId="2" xfId="0" applyNumberFormat="1" applyFont="1" applyBorder="1" applyAlignment="1">
      <alignment horizontal="right"/>
    </xf>
    <xf numFmtId="171" fontId="42" fillId="0" borderId="2" xfId="0" applyNumberFormat="1" applyFont="1" applyBorder="1" applyAlignment="1">
      <alignment horizontal="right"/>
    </xf>
    <xf numFmtId="177" fontId="43" fillId="33" borderId="2" xfId="0" applyNumberFormat="1" applyFont="1" applyFill="1" applyBorder="1" applyAlignment="1">
      <alignment horizontal="right"/>
    </xf>
    <xf numFmtId="171" fontId="43" fillId="33" borderId="2" xfId="0" applyNumberFormat="1" applyFont="1" applyFill="1" applyBorder="1" applyAlignment="1">
      <alignment horizontal="right"/>
    </xf>
    <xf numFmtId="165" fontId="11" fillId="32" borderId="2" xfId="0" applyNumberFormat="1" applyFont="1" applyFill="1" applyBorder="1" applyAlignment="1">
      <alignment horizontal="right" vertical="center"/>
    </xf>
    <xf numFmtId="0" fontId="9" fillId="32" borderId="2" xfId="0" applyFont="1" applyFill="1" applyBorder="1" applyAlignment="1">
      <alignment horizontal="center" vertical="center"/>
    </xf>
    <xf numFmtId="0" fontId="81" fillId="28" borderId="0" xfId="0" applyFont="1" applyFill="1"/>
    <xf numFmtId="0" fontId="58" fillId="10" borderId="0" xfId="0" applyFont="1" applyFill="1" applyAlignment="1">
      <alignment horizontal="center" vertical="center"/>
    </xf>
    <xf numFmtId="0" fontId="51" fillId="10" borderId="0" xfId="0" applyFont="1" applyFill="1" applyAlignment="1">
      <alignment horizontal="center" vertical="center"/>
    </xf>
    <xf numFmtId="0" fontId="60" fillId="30" borderId="33" xfId="0" applyFont="1" applyFill="1" applyBorder="1" applyAlignment="1">
      <alignment horizontal="center" vertical="center"/>
    </xf>
    <xf numFmtId="0" fontId="51" fillId="9" borderId="0" xfId="0" applyFont="1" applyFill="1" applyAlignment="1">
      <alignment horizontal="center" vertical="center"/>
    </xf>
    <xf numFmtId="174" fontId="61" fillId="30" borderId="33" xfId="0" applyNumberFormat="1" applyFont="1" applyFill="1" applyBorder="1" applyAlignment="1">
      <alignment horizontal="center" vertical="center"/>
    </xf>
    <xf numFmtId="170" fontId="44" fillId="13" borderId="0" xfId="0" applyNumberFormat="1" applyFont="1" applyFill="1" applyAlignment="1">
      <alignment horizontal="center" vertical="center"/>
    </xf>
    <xf numFmtId="0" fontId="60" fillId="31" borderId="34" xfId="0" applyFont="1" applyFill="1" applyBorder="1" applyAlignment="1">
      <alignment horizontal="center" vertical="center"/>
    </xf>
    <xf numFmtId="171" fontId="61" fillId="31" borderId="32" xfId="0" applyNumberFormat="1" applyFont="1" applyFill="1" applyBorder="1" applyAlignment="1">
      <alignment horizontal="center" vertical="center"/>
    </xf>
    <xf numFmtId="10" fontId="44" fillId="13" borderId="0" xfId="0" applyNumberFormat="1" applyFont="1" applyFill="1" applyAlignment="1">
      <alignment horizontal="center" vertical="center"/>
    </xf>
    <xf numFmtId="171" fontId="44" fillId="13" borderId="0" xfId="0" applyNumberFormat="1" applyFont="1" applyFill="1" applyAlignment="1">
      <alignment horizontal="center" vertical="center"/>
    </xf>
    <xf numFmtId="174" fontId="61" fillId="31" borderId="32" xfId="0" applyNumberFormat="1" applyFont="1" applyFill="1" applyBorder="1" applyAlignment="1">
      <alignment horizontal="center" vertical="center"/>
    </xf>
    <xf numFmtId="1" fontId="61" fillId="31" borderId="32" xfId="0" applyNumberFormat="1" applyFont="1" applyFill="1" applyBorder="1" applyAlignment="1">
      <alignment horizontal="center" vertical="center"/>
    </xf>
    <xf numFmtId="1" fontId="44" fillId="13" borderId="0" xfId="0" applyNumberFormat="1" applyFont="1" applyFill="1" applyAlignment="1">
      <alignment horizontal="center" vertical="center"/>
    </xf>
    <xf numFmtId="173" fontId="58" fillId="31" borderId="32" xfId="0" applyNumberFormat="1" applyFont="1" applyFill="1" applyBorder="1" applyAlignment="1">
      <alignment horizontal="center" vertical="center"/>
    </xf>
    <xf numFmtId="164" fontId="44" fillId="13" borderId="0" xfId="0" applyNumberFormat="1" applyFont="1" applyFill="1" applyAlignment="1">
      <alignment horizontal="center" vertical="center"/>
    </xf>
    <xf numFmtId="0" fontId="75" fillId="27" borderId="13" xfId="0" applyFont="1" applyFill="1" applyBorder="1" applyAlignment="1">
      <alignment horizontal="center" vertical="center" wrapText="1"/>
    </xf>
    <xf numFmtId="0" fontId="51" fillId="9" borderId="11" xfId="0" applyFont="1" applyFill="1" applyBorder="1" applyAlignment="1">
      <alignment horizontal="center" vertical="center" wrapText="1"/>
    </xf>
    <xf numFmtId="0" fontId="75" fillId="27" borderId="14" xfId="0" applyFont="1" applyFill="1" applyBorder="1" applyAlignment="1">
      <alignment horizontal="center" vertical="center" wrapText="1"/>
    </xf>
    <xf numFmtId="0" fontId="45" fillId="0" borderId="11" xfId="0" applyFont="1" applyBorder="1" applyAlignment="1">
      <alignment horizontal="center" vertical="center" wrapText="1"/>
    </xf>
    <xf numFmtId="0" fontId="75" fillId="27" borderId="15" xfId="0" applyFont="1" applyFill="1" applyBorder="1" applyAlignment="1">
      <alignment horizontal="center" vertical="center" wrapText="1"/>
    </xf>
    <xf numFmtId="0" fontId="51" fillId="2" borderId="11" xfId="0" applyFont="1" applyFill="1" applyBorder="1" applyAlignment="1">
      <alignment horizontal="center" vertical="center" wrapText="1"/>
    </xf>
    <xf numFmtId="0" fontId="76" fillId="28" borderId="15" xfId="0" applyFont="1" applyFill="1" applyBorder="1" applyAlignment="1">
      <alignment horizontal="center" vertical="center" wrapText="1"/>
    </xf>
    <xf numFmtId="0" fontId="75" fillId="27" borderId="12" xfId="0" applyFont="1" applyFill="1" applyBorder="1" applyAlignment="1">
      <alignment horizontal="center" vertical="center" wrapText="1"/>
    </xf>
    <xf numFmtId="0" fontId="76" fillId="28" borderId="12" xfId="0" applyFont="1" applyFill="1" applyBorder="1" applyAlignment="1">
      <alignment horizontal="center" vertical="center" wrapText="1"/>
    </xf>
    <xf numFmtId="0" fontId="58" fillId="12" borderId="0" xfId="0" applyFont="1" applyFill="1" applyAlignment="1">
      <alignment horizontal="center" vertical="center"/>
    </xf>
    <xf numFmtId="0" fontId="51" fillId="12" borderId="0" xfId="0" applyFont="1" applyFill="1" applyAlignment="1">
      <alignment horizontal="center" vertical="center"/>
    </xf>
    <xf numFmtId="0" fontId="75" fillId="27" borderId="8" xfId="0" applyFont="1" applyFill="1" applyBorder="1" applyAlignment="1">
      <alignment horizontal="center" vertical="center"/>
    </xf>
    <xf numFmtId="0" fontId="52" fillId="8" borderId="8" xfId="0" applyFont="1" applyFill="1" applyBorder="1" applyAlignment="1">
      <alignment horizontal="center" vertical="center"/>
    </xf>
    <xf numFmtId="0" fontId="76" fillId="28" borderId="8" xfId="0" applyFont="1" applyFill="1" applyBorder="1" applyAlignment="1">
      <alignment horizontal="center" vertical="center"/>
    </xf>
    <xf numFmtId="0" fontId="53" fillId="4" borderId="8" xfId="0" applyFont="1" applyFill="1" applyBorder="1" applyAlignment="1">
      <alignment horizontal="center" vertical="center"/>
    </xf>
    <xf numFmtId="0" fontId="77" fillId="29" borderId="8" xfId="0" applyFont="1" applyFill="1" applyBorder="1" applyAlignment="1">
      <alignment horizontal="center" vertical="center"/>
    </xf>
    <xf numFmtId="0" fontId="54" fillId="7" borderId="8" xfId="0" applyFont="1" applyFill="1" applyBorder="1" applyAlignment="1">
      <alignment horizontal="center" vertical="center"/>
    </xf>
    <xf numFmtId="0" fontId="62" fillId="25" borderId="0" xfId="0" applyFont="1" applyFill="1" applyAlignment="1">
      <alignment horizontal="center" vertical="center"/>
    </xf>
    <xf numFmtId="0" fontId="82" fillId="0" borderId="0" xfId="0" applyFont="1" applyAlignment="1">
      <alignment horizontal="left" vertical="center"/>
    </xf>
    <xf numFmtId="0" fontId="44" fillId="13" borderId="8" xfId="0" applyFont="1" applyFill="1" applyBorder="1" applyAlignment="1">
      <alignment horizontal="center" vertical="center"/>
    </xf>
    <xf numFmtId="0" fontId="48" fillId="0" borderId="0" xfId="0" applyFont="1" applyAlignment="1">
      <alignment horizontal="left" vertical="center" wrapText="1"/>
    </xf>
    <xf numFmtId="0" fontId="44" fillId="5" borderId="0" xfId="0" applyFont="1" applyFill="1" applyAlignment="1">
      <alignment horizontal="center" vertical="center" wrapText="1"/>
    </xf>
    <xf numFmtId="0" fontId="51" fillId="2" borderId="0" xfId="0" applyFont="1" applyFill="1" applyAlignment="1">
      <alignment horizontal="center" vertical="center"/>
    </xf>
    <xf numFmtId="174" fontId="48" fillId="0" borderId="0" xfId="0" applyNumberFormat="1" applyFont="1" applyAlignment="1">
      <alignment horizontal="right" vertical="center"/>
    </xf>
    <xf numFmtId="170" fontId="48" fillId="0" borderId="0" xfId="0" applyNumberFormat="1" applyFont="1" applyAlignment="1">
      <alignment horizontal="right" vertical="center"/>
    </xf>
    <xf numFmtId="171" fontId="45" fillId="0" borderId="0" xfId="0" applyNumberFormat="1" applyFont="1" applyAlignment="1">
      <alignment horizontal="right" vertical="center"/>
    </xf>
    <xf numFmtId="171" fontId="48" fillId="0" borderId="0" xfId="0" applyNumberFormat="1" applyFont="1" applyAlignment="1">
      <alignment horizontal="center" vertical="center"/>
    </xf>
    <xf numFmtId="175" fontId="48" fillId="0" borderId="0" xfId="0" applyNumberFormat="1" applyFont="1" applyAlignment="1">
      <alignment horizontal="right" vertical="center"/>
    </xf>
    <xf numFmtId="4" fontId="48" fillId="0" borderId="0" xfId="0" applyNumberFormat="1" applyFont="1" applyAlignment="1">
      <alignment horizontal="right" vertical="center"/>
    </xf>
    <xf numFmtId="171" fontId="45" fillId="0" borderId="0" xfId="0" applyNumberFormat="1" applyFont="1" applyAlignment="1">
      <alignment horizontal="center" vertical="center"/>
    </xf>
    <xf numFmtId="172" fontId="45" fillId="0" borderId="0" xfId="0" applyNumberFormat="1" applyFont="1" applyAlignment="1">
      <alignment horizontal="center" vertical="center"/>
    </xf>
    <xf numFmtId="175" fontId="44" fillId="6" borderId="0" xfId="0" applyNumberFormat="1" applyFont="1" applyFill="1" applyAlignment="1">
      <alignment horizontal="right" vertical="center"/>
    </xf>
    <xf numFmtId="4" fontId="44" fillId="6" borderId="0" xfId="0" applyNumberFormat="1" applyFont="1" applyFill="1" applyAlignment="1">
      <alignment horizontal="right" vertical="center"/>
    </xf>
    <xf numFmtId="0" fontId="55" fillId="0" borderId="0" xfId="0" applyFont="1" applyAlignment="1">
      <alignment horizontal="left" vertical="center" indent="1"/>
    </xf>
    <xf numFmtId="4" fontId="56" fillId="0" borderId="0" xfId="0" applyNumberFormat="1" applyFont="1" applyAlignment="1">
      <alignment horizontal="center" vertical="center"/>
    </xf>
    <xf numFmtId="175" fontId="44" fillId="13" borderId="0" xfId="0" applyNumberFormat="1" applyFont="1" applyFill="1" applyAlignment="1">
      <alignment horizontal="right" vertical="center"/>
    </xf>
    <xf numFmtId="4" fontId="44" fillId="13" borderId="0" xfId="0" applyNumberFormat="1" applyFont="1" applyFill="1" applyAlignment="1">
      <alignment horizontal="right" vertical="center"/>
    </xf>
    <xf numFmtId="0" fontId="59" fillId="5" borderId="0" xfId="0" applyFont="1" applyFill="1" applyAlignment="1">
      <alignment horizontal="center" vertical="center" wrapText="1"/>
    </xf>
    <xf numFmtId="0" fontId="55" fillId="5" borderId="0" xfId="0" applyFont="1" applyFill="1" applyAlignment="1">
      <alignment horizontal="center" vertical="center" wrapText="1"/>
    </xf>
    <xf numFmtId="0" fontId="57" fillId="0" borderId="0" xfId="0" applyFont="1" applyAlignment="1">
      <alignment horizontal="center" vertical="center"/>
    </xf>
    <xf numFmtId="0" fontId="58" fillId="2" borderId="0" xfId="0" applyFont="1" applyFill="1" applyAlignment="1">
      <alignment horizontal="left" vertical="center" indent="1"/>
    </xf>
    <xf numFmtId="0" fontId="51" fillId="2" borderId="0" xfId="0" applyFont="1" applyFill="1" applyAlignment="1">
      <alignment horizontal="left" vertical="center" indent="1"/>
    </xf>
    <xf numFmtId="0" fontId="44" fillId="18" borderId="2" xfId="0" applyFont="1" applyFill="1" applyBorder="1" applyAlignment="1">
      <alignment vertical="top" wrapText="1"/>
    </xf>
    <xf numFmtId="0" fontId="49" fillId="18" borderId="2" xfId="0" applyFont="1" applyFill="1" applyBorder="1" applyAlignment="1">
      <alignment vertical="top" wrapText="1"/>
    </xf>
    <xf numFmtId="0" fontId="44" fillId="6" borderId="2" xfId="0" applyFont="1" applyFill="1" applyBorder="1" applyAlignment="1">
      <alignment vertical="top" wrapText="1"/>
    </xf>
    <xf numFmtId="0" fontId="49" fillId="6" borderId="2" xfId="0" applyFont="1" applyFill="1" applyBorder="1" applyAlignment="1">
      <alignment vertical="top" wrapText="1"/>
    </xf>
    <xf numFmtId="0" fontId="44" fillId="14" borderId="2" xfId="0" applyFont="1" applyFill="1" applyBorder="1" applyAlignment="1">
      <alignment vertical="top" wrapText="1"/>
    </xf>
    <xf numFmtId="0" fontId="49" fillId="14" borderId="2" xfId="0" applyFont="1" applyFill="1" applyBorder="1" applyAlignment="1">
      <alignment vertical="top" wrapText="1"/>
    </xf>
    <xf numFmtId="0" fontId="6" fillId="9" borderId="0" xfId="0" applyFont="1" applyFill="1" applyAlignment="1">
      <alignment horizontal="center" vertical="center"/>
    </xf>
    <xf numFmtId="0" fontId="7" fillId="10" borderId="0" xfId="0" applyFont="1" applyFill="1" applyAlignment="1">
      <alignment horizontal="center" vertical="center"/>
    </xf>
    <xf numFmtId="0" fontId="8" fillId="9" borderId="2" xfId="0" applyFont="1" applyFill="1" applyBorder="1" applyAlignment="1">
      <alignment horizontal="left" vertical="center" indent="1"/>
    </xf>
    <xf numFmtId="0" fontId="9" fillId="0" borderId="2" xfId="0" applyFont="1" applyBorder="1" applyAlignment="1">
      <alignment horizontal="left" vertical="center" wrapText="1" indent="1"/>
    </xf>
    <xf numFmtId="0" fontId="10" fillId="6" borderId="2" xfId="0" applyFont="1" applyFill="1" applyBorder="1" applyAlignment="1">
      <alignment horizontal="left" vertical="center" wrapText="1" indent="1"/>
    </xf>
    <xf numFmtId="164" fontId="11" fillId="6" borderId="2" xfId="0" applyNumberFormat="1" applyFont="1" applyFill="1" applyBorder="1" applyAlignment="1">
      <alignment horizontal="left" vertical="center" indent="1"/>
    </xf>
    <xf numFmtId="0" fontId="11" fillId="0" borderId="2" xfId="0" applyFont="1" applyBorder="1" applyAlignment="1">
      <alignment horizontal="left" vertical="center" indent="1"/>
    </xf>
    <xf numFmtId="0" fontId="12" fillId="10" borderId="3" xfId="0" applyFont="1" applyFill="1" applyBorder="1" applyAlignment="1">
      <alignment horizontal="left" vertical="center" indent="1"/>
    </xf>
    <xf numFmtId="0" fontId="13" fillId="5" borderId="37" xfId="0" applyFont="1" applyFill="1" applyBorder="1" applyAlignment="1">
      <alignment horizontal="left" vertical="top" wrapText="1" indent="1"/>
    </xf>
    <xf numFmtId="0" fontId="13" fillId="5" borderId="10" xfId="0" applyFont="1" applyFill="1" applyBorder="1" applyAlignment="1">
      <alignment horizontal="left" vertical="top" wrapText="1" indent="1"/>
    </xf>
    <xf numFmtId="0" fontId="13" fillId="5" borderId="39" xfId="0" applyFont="1" applyFill="1" applyBorder="1" applyAlignment="1">
      <alignment horizontal="left" vertical="top" wrapText="1" indent="1"/>
    </xf>
    <xf numFmtId="0" fontId="12" fillId="10" borderId="4" xfId="0" applyFont="1" applyFill="1" applyBorder="1" applyAlignment="1">
      <alignment horizontal="left" vertical="center" indent="1"/>
    </xf>
    <xf numFmtId="0" fontId="14" fillId="0" borderId="2" xfId="0" applyFont="1" applyBorder="1" applyAlignment="1">
      <alignment horizontal="left" vertical="center" indent="1"/>
    </xf>
    <xf numFmtId="0" fontId="15" fillId="9" borderId="6" xfId="0" applyFont="1" applyFill="1" applyBorder="1" applyAlignment="1">
      <alignment horizontal="center" vertical="center"/>
    </xf>
    <xf numFmtId="0" fontId="12" fillId="12" borderId="0" xfId="0" applyFont="1" applyFill="1" applyAlignment="1">
      <alignment horizontal="left" vertical="center" indent="1"/>
    </xf>
    <xf numFmtId="0" fontId="38" fillId="20" borderId="0" xfId="0" applyFont="1" applyFill="1" applyAlignment="1">
      <alignment horizontal="center"/>
    </xf>
    <xf numFmtId="0" fontId="39" fillId="21" borderId="5" xfId="0" applyFont="1" applyFill="1" applyBorder="1" applyAlignment="1">
      <alignment horizontal="left"/>
    </xf>
    <xf numFmtId="0" fontId="22" fillId="2" borderId="2" xfId="0" applyFont="1" applyFill="1" applyBorder="1" applyAlignment="1">
      <alignment horizontal="center" vertical="center"/>
    </xf>
    <xf numFmtId="0" fontId="80" fillId="34" borderId="44" xfId="0" applyFont="1" applyFill="1" applyBorder="1" applyAlignment="1">
      <alignment horizontal="left" vertical="top" wrapText="1"/>
    </xf>
    <xf numFmtId="0" fontId="80" fillId="34" borderId="42" xfId="0" applyFont="1" applyFill="1" applyBorder="1" applyAlignment="1">
      <alignment horizontal="left" vertical="top" wrapText="1"/>
    </xf>
    <xf numFmtId="0" fontId="80" fillId="34" borderId="46" xfId="0" applyFont="1" applyFill="1" applyBorder="1" applyAlignment="1">
      <alignment horizontal="left" vertical="top" wrapText="1"/>
    </xf>
    <xf numFmtId="0" fontId="80" fillId="34" borderId="45" xfId="0" applyFont="1" applyFill="1" applyBorder="1" applyAlignment="1">
      <alignment horizontal="left" vertical="top" wrapText="1"/>
    </xf>
    <xf numFmtId="0" fontId="80" fillId="34" borderId="43" xfId="0" applyFont="1" applyFill="1" applyBorder="1" applyAlignment="1">
      <alignment horizontal="left" vertical="top" wrapText="1"/>
    </xf>
    <xf numFmtId="0" fontId="80" fillId="34" borderId="47" xfId="0" applyFont="1" applyFill="1" applyBorder="1" applyAlignment="1">
      <alignment horizontal="left" vertical="top" wrapText="1"/>
    </xf>
    <xf numFmtId="0" fontId="16" fillId="11" borderId="0" xfId="0" applyFont="1" applyFill="1" applyAlignment="1">
      <alignment horizontal="left" vertical="center" wrapText="1" indent="1"/>
    </xf>
    <xf numFmtId="0" fontId="21" fillId="12" borderId="0" xfId="0" applyFont="1" applyFill="1" applyAlignment="1">
      <alignment horizontal="left" vertical="center" indent="1"/>
    </xf>
    <xf numFmtId="0" fontId="9" fillId="0" borderId="2" xfId="0" applyFont="1" applyBorder="1" applyAlignment="1">
      <alignment horizontal="left" vertical="center" wrapText="1"/>
    </xf>
    <xf numFmtId="0" fontId="13" fillId="0" borderId="2" xfId="0" applyFont="1" applyBorder="1" applyAlignment="1">
      <alignment horizontal="left" vertical="center" wrapText="1"/>
    </xf>
    <xf numFmtId="0" fontId="29" fillId="15" borderId="0" xfId="0" applyFont="1" applyFill="1" applyAlignment="1">
      <alignment horizontal="left" vertical="center" indent="1"/>
    </xf>
    <xf numFmtId="0" fontId="17" fillId="11" borderId="2" xfId="0" applyFont="1" applyFill="1" applyBorder="1" applyAlignment="1">
      <alignment horizontal="left" vertical="center" wrapText="1"/>
    </xf>
    <xf numFmtId="166" fontId="17" fillId="11" borderId="2" xfId="0" applyNumberFormat="1" applyFont="1" applyFill="1" applyBorder="1" applyAlignment="1">
      <alignment horizontal="right" vertical="center"/>
    </xf>
    <xf numFmtId="165" fontId="17" fillId="11" borderId="2" xfId="0" applyNumberFormat="1" applyFont="1" applyFill="1" applyBorder="1" applyAlignment="1">
      <alignment horizontal="right" vertical="center"/>
    </xf>
    <xf numFmtId="0" fontId="22" fillId="12" borderId="2" xfId="0" applyFont="1" applyFill="1" applyBorder="1" applyAlignment="1">
      <alignment horizontal="center" vertical="center"/>
    </xf>
    <xf numFmtId="0" fontId="30" fillId="15" borderId="2" xfId="0" applyFont="1" applyFill="1" applyBorder="1" applyAlignment="1">
      <alignment horizontal="left" vertical="center" indent="1"/>
    </xf>
    <xf numFmtId="3" fontId="17" fillId="11" borderId="2" xfId="0" applyNumberFormat="1" applyFont="1" applyFill="1" applyBorder="1" applyAlignment="1">
      <alignment horizontal="right" vertical="center"/>
    </xf>
    <xf numFmtId="0" fontId="32" fillId="2" borderId="0" xfId="0" applyFont="1" applyFill="1" applyAlignment="1">
      <alignment horizontal="left" vertical="center" indent="1"/>
    </xf>
    <xf numFmtId="0" fontId="23" fillId="6" borderId="2" xfId="0" applyFont="1" applyFill="1" applyBorder="1" applyAlignment="1">
      <alignment vertical="top" wrapText="1"/>
    </xf>
    <xf numFmtId="0" fontId="27" fillId="14" borderId="2" xfId="0" applyFont="1" applyFill="1" applyBorder="1" applyAlignment="1">
      <alignment vertical="top" wrapText="1"/>
    </xf>
    <xf numFmtId="0" fontId="17" fillId="11" borderId="2" xfId="0" applyFont="1" applyFill="1" applyBorder="1" applyAlignment="1">
      <alignment horizontal="center" vertical="center"/>
    </xf>
    <xf numFmtId="0" fontId="17" fillId="11" borderId="2" xfId="0" applyFont="1" applyFill="1" applyBorder="1" applyAlignment="1">
      <alignment horizontal="right" vertical="center"/>
    </xf>
    <xf numFmtId="0" fontId="38" fillId="9" borderId="6" xfId="0" applyFont="1" applyFill="1" applyBorder="1" applyAlignment="1">
      <alignment horizontal="center" vertical="center"/>
    </xf>
    <xf numFmtId="0" fontId="40" fillId="22" borderId="2" xfId="0" applyFont="1" applyFill="1" applyBorder="1" applyAlignment="1">
      <alignment horizontal="center" vertical="center" wrapText="1"/>
    </xf>
    <xf numFmtId="0" fontId="40" fillId="22" borderId="35" xfId="0" applyFont="1" applyFill="1" applyBorder="1" applyAlignment="1">
      <alignment horizontal="center" vertical="center" wrapText="1"/>
    </xf>
    <xf numFmtId="0" fontId="40" fillId="22" borderId="0" xfId="0" applyFont="1" applyFill="1" applyAlignment="1">
      <alignment horizontal="center" vertical="center" wrapText="1"/>
    </xf>
    <xf numFmtId="0" fontId="84" fillId="35" borderId="0" xfId="0" applyFont="1" applyFill="1" applyAlignment="1">
      <alignment horizontal="left" vertical="center" indent="1"/>
    </xf>
    <xf numFmtId="0" fontId="38" fillId="20" borderId="6" xfId="0" applyFont="1" applyFill="1" applyBorder="1" applyAlignment="1">
      <alignment horizontal="center" vertical="center"/>
    </xf>
    <xf numFmtId="0" fontId="41" fillId="24" borderId="0" xfId="0" applyFont="1" applyFill="1" applyAlignment="1">
      <alignment horizontal="left" vertical="center" indent="1"/>
    </xf>
    <xf numFmtId="0" fontId="83" fillId="36" borderId="0" xfId="0" applyFont="1" applyFill="1" applyAlignment="1">
      <alignment horizontal="left" vertical="center" indent="1"/>
    </xf>
    <xf numFmtId="0" fontId="83" fillId="36" borderId="2" xfId="0" applyFont="1" applyFill="1" applyBorder="1" applyAlignment="1">
      <alignment horizontal="left" vertical="center" wrapText="1"/>
    </xf>
    <xf numFmtId="0" fontId="42" fillId="0" borderId="0" xfId="0" applyFont="1"/>
    <xf numFmtId="0" fontId="86" fillId="9" borderId="6" xfId="0" applyFont="1" applyFill="1" applyBorder="1" applyAlignment="1">
      <alignment horizontal="center"/>
    </xf>
    <xf numFmtId="0" fontId="41" fillId="12" borderId="0" xfId="0" applyFont="1" applyFill="1" applyAlignment="1">
      <alignment horizontal="left" vertical="center" indent="1"/>
    </xf>
    <xf numFmtId="0" fontId="87" fillId="0" borderId="0" xfId="0" applyFont="1"/>
    <xf numFmtId="0" fontId="88" fillId="0" borderId="0" xfId="0" applyFont="1" applyAlignment="1">
      <alignment vertical="top" wrapText="1"/>
    </xf>
    <xf numFmtId="0" fontId="5" fillId="0" borderId="2" xfId="0" applyFont="1" applyBorder="1" applyAlignment="1">
      <alignment horizontal="left" vertical="center" wrapText="1"/>
    </xf>
    <xf numFmtId="0" fontId="85" fillId="0" borderId="2" xfId="0" applyFont="1" applyBorder="1" applyAlignment="1">
      <alignment horizontal="left" vertical="center" wrapText="1"/>
    </xf>
    <xf numFmtId="0" fontId="85" fillId="11" borderId="2" xfId="0" applyFont="1" applyFill="1" applyBorder="1" applyAlignment="1">
      <alignment horizontal="left" vertical="center" wrapText="1"/>
    </xf>
    <xf numFmtId="0" fontId="36" fillId="14" borderId="2" xfId="0" applyFont="1" applyFill="1" applyBorder="1" applyAlignment="1">
      <alignment vertical="top" wrapText="1"/>
    </xf>
    <xf numFmtId="0" fontId="5" fillId="14" borderId="2" xfId="0" applyFont="1" applyFill="1" applyBorder="1" applyAlignment="1">
      <alignment vertical="top" wrapText="1"/>
    </xf>
    <xf numFmtId="0" fontId="89" fillId="0" borderId="0" xfId="0" applyFont="1"/>
    <xf numFmtId="0" fontId="90" fillId="11" borderId="0" xfId="0" applyFont="1" applyFill="1" applyAlignment="1">
      <alignment horizontal="center" vertical="center"/>
    </xf>
    <xf numFmtId="0" fontId="13" fillId="19" borderId="36" xfId="0" applyFont="1" applyFill="1" applyBorder="1" applyAlignment="1">
      <alignment horizontal="left" vertical="top" wrapText="1" indent="1"/>
    </xf>
    <xf numFmtId="0" fontId="13" fillId="19" borderId="0" xfId="0" applyFont="1" applyFill="1" applyAlignment="1">
      <alignment horizontal="left" vertical="top" wrapText="1" indent="1"/>
    </xf>
    <xf numFmtId="0" fontId="13" fillId="19" borderId="40" xfId="0" applyFont="1" applyFill="1" applyBorder="1" applyAlignment="1">
      <alignment horizontal="left" vertical="top" wrapText="1" indent="1"/>
    </xf>
    <xf numFmtId="0" fontId="85" fillId="19" borderId="50" xfId="0" applyFont="1" applyFill="1" applyBorder="1" applyAlignment="1">
      <alignment horizontal="left" vertical="top" wrapText="1" indent="1"/>
    </xf>
    <xf numFmtId="0" fontId="85" fillId="19" borderId="48" xfId="0" applyFont="1" applyFill="1" applyBorder="1" applyAlignment="1">
      <alignment horizontal="left" vertical="top" wrapText="1" indent="1"/>
    </xf>
    <xf numFmtId="0" fontId="85" fillId="19" borderId="52" xfId="0" applyFont="1" applyFill="1" applyBorder="1" applyAlignment="1">
      <alignment horizontal="left" vertical="top" wrapText="1" indent="1"/>
    </xf>
    <xf numFmtId="0" fontId="85" fillId="19" borderId="51" xfId="0" applyFont="1" applyFill="1" applyBorder="1" applyAlignment="1">
      <alignment horizontal="left" vertical="top" wrapText="1" indent="1"/>
    </xf>
    <xf numFmtId="0" fontId="85" fillId="19" borderId="49" xfId="0" applyFont="1" applyFill="1" applyBorder="1" applyAlignment="1">
      <alignment horizontal="left" vertical="top" wrapText="1" indent="1"/>
    </xf>
    <xf numFmtId="0" fontId="85" fillId="19" borderId="53" xfId="0" applyFont="1" applyFill="1" applyBorder="1" applyAlignment="1">
      <alignment horizontal="left" vertical="top" wrapText="1" indent="1"/>
    </xf>
    <xf numFmtId="0" fontId="13" fillId="19" borderId="38" xfId="0" applyFont="1" applyFill="1" applyBorder="1" applyAlignment="1">
      <alignment horizontal="left" vertical="top" wrapText="1" indent="1"/>
    </xf>
    <xf numFmtId="0" fontId="13" fillId="19" borderId="3" xfId="0" applyFont="1" applyFill="1" applyBorder="1" applyAlignment="1">
      <alignment horizontal="left" vertical="top" wrapText="1" indent="1"/>
    </xf>
    <xf numFmtId="0" fontId="13" fillId="19" borderId="41" xfId="0" applyFont="1" applyFill="1" applyBorder="1" applyAlignment="1">
      <alignment horizontal="left" vertical="top" wrapText="1" indent="1"/>
    </xf>
    <xf numFmtId="0" fontId="91" fillId="9" borderId="5" xfId="0" applyFont="1" applyFill="1" applyBorder="1" applyAlignment="1">
      <alignment horizontal="center"/>
    </xf>
    <xf numFmtId="0" fontId="92" fillId="9" borderId="0" xfId="0" applyFont="1" applyFill="1" applyAlignment="1">
      <alignment horizontal="center"/>
    </xf>
    <xf numFmtId="0" fontId="93" fillId="11" borderId="0" xfId="0" applyFont="1" applyFill="1" applyAlignment="1">
      <alignment horizontal="left" vertical="center" wrapText="1"/>
    </xf>
    <xf numFmtId="0" fontId="41" fillId="12" borderId="0" xfId="0" applyFont="1" applyFill="1" applyAlignment="1">
      <alignment horizontal="left" vertical="center" indent="1"/>
    </xf>
    <xf numFmtId="0" fontId="94" fillId="0" borderId="0" xfId="0" applyFont="1"/>
    <xf numFmtId="0" fontId="40" fillId="12" borderId="2" xfId="0" applyFont="1" applyFill="1" applyBorder="1" applyAlignment="1">
      <alignment horizontal="center" vertical="center" wrapText="1"/>
    </xf>
    <xf numFmtId="0" fontId="95" fillId="0" borderId="0" xfId="0" applyFont="1"/>
    <xf numFmtId="0" fontId="94" fillId="24" borderId="0" xfId="0" applyFont="1" applyFill="1"/>
    <xf numFmtId="0" fontId="41" fillId="2" borderId="0" xfId="0" applyFont="1" applyFill="1" applyAlignment="1">
      <alignment horizontal="left" vertical="center" indent="1"/>
    </xf>
    <xf numFmtId="0" fontId="96" fillId="14" borderId="2" xfId="0" applyFont="1" applyFill="1" applyBorder="1" applyAlignment="1">
      <alignment vertical="top" wrapText="1"/>
    </xf>
    <xf numFmtId="0" fontId="97" fillId="14" borderId="2" xfId="0" applyFont="1" applyFill="1" applyBorder="1" applyAlignment="1">
      <alignment vertical="top" wrapText="1"/>
    </xf>
    <xf numFmtId="0" fontId="41" fillId="35" borderId="0" xfId="0" applyFont="1" applyFill="1"/>
    <xf numFmtId="0" fontId="43" fillId="0" borderId="0" xfId="0" applyFont="1"/>
    <xf numFmtId="0" fontId="41" fillId="24" borderId="2" xfId="0" applyFont="1" applyFill="1" applyBorder="1" applyAlignment="1">
      <alignment horizontal="center" vertical="center" wrapText="1"/>
    </xf>
    <xf numFmtId="0" fontId="5" fillId="11" borderId="2" xfId="0" applyFont="1" applyFill="1" applyBorder="1" applyAlignment="1">
      <alignment horizontal="left" vertical="center" indent="1"/>
    </xf>
    <xf numFmtId="0" fontId="79" fillId="0" borderId="2" xfId="0" applyFont="1" applyBorder="1" applyAlignment="1">
      <alignment horizontal="center" vertical="center"/>
    </xf>
    <xf numFmtId="0" fontId="41" fillId="24" borderId="2" xfId="0" applyFont="1" applyFill="1" applyBorder="1" applyAlignment="1">
      <alignment horizontal="left" vertical="center" indent="1"/>
    </xf>
    <xf numFmtId="15" fontId="9" fillId="0" borderId="2" xfId="0" applyNumberFormat="1" applyFont="1" applyBorder="1" applyAlignment="1">
      <alignment horizontal="left" vertical="center" wrapText="1"/>
    </xf>
  </cellXfs>
  <cellStyles count="1">
    <cellStyle name="Normal" xfId="0" builtinId="0"/>
  </cellStyles>
  <dxfs count="64">
    <dxf>
      <font>
        <color rgb="FFCC0000"/>
      </font>
      <fill>
        <patternFill patternType="solid">
          <fgColor indexed="64"/>
          <bgColor rgb="FFFCE4EC"/>
        </patternFill>
      </fill>
    </dxf>
    <dxf>
      <font>
        <color rgb="FF806000"/>
      </font>
      <fill>
        <patternFill patternType="solid">
          <fgColor indexed="64"/>
          <bgColor rgb="FFFFF2CC"/>
        </patternFill>
      </fill>
    </dxf>
    <dxf>
      <font>
        <b/>
        <color rgb="FF9C5700"/>
      </font>
      <fill>
        <patternFill>
          <bgColor rgb="FFFFEB9C"/>
        </patternFill>
      </fill>
    </dxf>
    <dxf>
      <font>
        <b/>
        <color rgb="FF006100"/>
      </font>
      <fill>
        <patternFill>
          <bgColor rgb="FFC6EFCE"/>
        </patternFill>
      </fill>
    </dxf>
    <dxf>
      <font>
        <b/>
        <color rgb="FF9C0006"/>
      </font>
    </dxf>
    <dxf>
      <font>
        <b/>
        <color rgb="FF006100"/>
      </font>
    </dxf>
    <dxf>
      <font>
        <color rgb="FFCC0000"/>
      </font>
      <fill>
        <patternFill patternType="solid">
          <fgColor indexed="64"/>
          <bgColor rgb="FFFCE4EC"/>
        </patternFill>
      </fill>
    </dxf>
    <dxf>
      <font>
        <color rgb="FF006600"/>
      </font>
      <fill>
        <patternFill patternType="solid">
          <fgColor indexed="64"/>
          <bgColor rgb="FFE2EFDA"/>
        </patternFill>
      </fill>
    </dxf>
    <dxf>
      <font>
        <b/>
        <sz val="14"/>
        <color rgb="FF9C5700"/>
      </font>
      <fill>
        <patternFill>
          <bgColor rgb="FFFFEB9C"/>
        </patternFill>
      </fill>
    </dxf>
    <dxf>
      <font>
        <b/>
        <sz val="14"/>
        <color rgb="FF9C0006"/>
      </font>
      <fill>
        <patternFill>
          <bgColor rgb="FFFFC7CE"/>
        </patternFill>
      </fill>
    </dxf>
    <dxf>
      <font>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ill>
        <patternFill>
          <bgColor rgb="FFFFEB9C"/>
        </patternFill>
      </fill>
    </dxf>
    <dxf>
      <font>
        <b/>
        <sz val="10"/>
        <color rgb="FF9C0006"/>
        <name val="Arial"/>
        <charset val="1"/>
      </font>
      <fill>
        <patternFill>
          <bgColor rgb="FFFFC7CE"/>
        </patternFill>
      </fill>
    </dxf>
    <dxf>
      <font>
        <b/>
        <i/>
        <sz val="10"/>
        <color rgb="FF808080"/>
        <name val="Arial"/>
        <charset val="1"/>
      </font>
      <fill>
        <patternFill>
          <bgColor rgb="FFF2F2F2"/>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i val="0"/>
        <color rgb="FF9C0006"/>
      </font>
      <fill>
        <patternFill patternType="solid">
          <fgColor indexed="64"/>
          <bgColor rgb="FFF8CBAD"/>
        </patternFill>
      </fill>
    </dxf>
    <dxf>
      <font>
        <color rgb="FF7F6000"/>
      </font>
      <fill>
        <patternFill patternType="solid">
          <fgColor indexed="64"/>
          <bgColor rgb="FFFFE699"/>
        </patternFill>
      </fill>
    </dxf>
    <dxf>
      <font>
        <color rgb="FF006100"/>
      </font>
      <fill>
        <patternFill patternType="solid">
          <fgColor indexed="64"/>
          <bgColor rgb="FFC6EFCE"/>
        </patternFill>
      </fill>
    </dxf>
    <dxf>
      <fill>
        <patternFill>
          <bgColor rgb="FFFFEB9C"/>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2"/>
        <color rgb="FF9C0006"/>
        <name val="Arial"/>
        <charset val="1"/>
      </font>
      <fill>
        <patternFill>
          <bgColor rgb="FFFFC7CE"/>
        </patternFill>
      </fill>
    </dxf>
    <dxf>
      <font>
        <b/>
        <sz val="12"/>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C0"/>
      <rgbColor rgb="FFE2EFDA"/>
      <rgbColor rgb="FFFF00FF"/>
      <rgbColor rgb="FF00FFFF"/>
      <rgbColor rgb="FF9C0006"/>
      <rgbColor rgb="FF006100"/>
      <rgbColor rgb="FF000080"/>
      <rgbColor rgb="FF808000"/>
      <rgbColor rgb="FF800080"/>
      <rgbColor rgb="FF2E75B6"/>
      <rgbColor rgb="FFBFBFBF"/>
      <rgbColor rgb="FF808080"/>
      <rgbColor rgb="FF8EA9DB"/>
      <rgbColor rgb="FF7030A0"/>
      <rgbColor rgb="FFFFF2CC"/>
      <rgbColor rgb="FFE7F2FF"/>
      <rgbColor rgb="FF660066"/>
      <rgbColor rgb="FFD6E4F0"/>
      <rgbColor rgb="FF0563C1"/>
      <rgbColor rgb="FFB4C6E7"/>
      <rgbColor rgb="FF000080"/>
      <rgbColor rgb="FFFF00FF"/>
      <rgbColor rgb="FFF2F2F2"/>
      <rgbColor rgb="FF00FFFF"/>
      <rgbColor rgb="FF800080"/>
      <rgbColor rgb="FFC00000"/>
      <rgbColor rgb="FF305496"/>
      <rgbColor rgb="FF0000FF"/>
      <rgbColor rgb="FF00CCFF"/>
      <rgbColor rgb="FFEAF3FC"/>
      <rgbColor rgb="FFC6EFCE"/>
      <rgbColor rgb="FFFFEB9C"/>
      <rgbColor rgb="FF9DC3E6"/>
      <rgbColor rgb="FFE7E6E6"/>
      <rgbColor rgb="FFD9E1F2"/>
      <rgbColor rgb="FFFFC7CE"/>
      <rgbColor rgb="FF4472C4"/>
      <rgbColor rgb="FFE7EEF8"/>
      <rgbColor rgb="FFA9D18E"/>
      <rgbColor rgb="FFFFC000"/>
      <rgbColor rgb="FFF5C24C"/>
      <rgbColor rgb="FFED7D31"/>
      <rgbColor rgb="FF666666"/>
      <rgbColor rgb="FF70AD47"/>
      <rgbColor rgb="FF13315C"/>
      <rgbColor rgb="FF5B9BD5"/>
      <rgbColor rgb="FF0B2545"/>
      <rgbColor rgb="FF555555"/>
      <rgbColor rgb="FF9C5700"/>
      <rgbColor rgb="FF595959"/>
      <rgbColor rgb="FF1F386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Divyanshu  Vatsa" id="{4804C753-63C9-465C-9587-EF8F24A5BB88}" userId="S::divyanshu.p25@imi.edu::bb8f613b-2d70-4020-b0ec-89bce7e446cc"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8" dT="2026-04-27T06:45:13.94" personId="{4804C753-63C9-465C-9587-EF8F24A5BB88}" id="{607C5BA9-C2D4-46C1-AC32-82F1D30A6F3E}">
    <text>⚠ SCOPE: This figure (₹170.07 Cr) includes scheduled term-loan repayments AND short-term debt rollover (buyers credit, WCDL bullets). DO NOT USE in DSCR denominator — use FIN_SCHED_REPAY (₹41.09 Cr) for covenant calculations. This row is retained for lender reporting and aggregate principal tracking only.</text>
  </threadedComment>
  <threadedComment ref="C38" dT="2026-04-27T06:45:13.94" personId="{4804C753-63C9-465C-9587-EF8F24A5BB88}" id="{5409E430-A389-46A9-B3E4-B79CDBE269CE}">
    <text>Includes: Canara residual + new TL instalments + SBLC/BC bullets. For scheduled TL repayment only, see row 40: FIN_SCHED_REPAY.</text>
  </threadedComment>
  <threadedComment ref="B39" dT="2026-04-27T06:39:25.70" personId="{4804C753-63C9-465C-9587-EF8F24A5BB88}" id="{9DA556DC-8F73-4E3B-8269-3B942DFB69A2}">
    <text>Source: Mentor's KFI tab + Ratios R23-R27 (FY26E).
FY26E PBT≈₹312.78 Cr × 25.17% = ₹78.69 Cr theoretical; actual tax paid (cash basis) ₹69.36 Cr per Ratios.
Update quarterly from latest standalone P&amp;L.</text>
  </threadedComment>
  <threadedComment ref="B40" dT="2026-04-27T06:39:25.71" personId="{4804C753-63C9-465C-9587-EF8F24A5BB88}" id="{0D72FC1A-083D-4E67-9DFB-AE9FEA2D82DA}">
    <text>Source: Mentor's Ratios tab R17+R25 FY26E.
Canara final repayment (₹17.44 Cr) + new YBL TL quarterly (4×₹5.91 Cr approx = ₹23.65 Cr) = ₹41.09 Cr. Excludes short-term debt rollover.
Update each quarter from the Repayment Schedule tab consolidated total.</text>
  </threadedComment>
</ThreadedComments>
</file>

<file path=xl/threadedComments/threadedComment2.xml><?xml version="1.0" encoding="utf-8"?>
<ThreadedComments xmlns="http://schemas.microsoft.com/office/spreadsheetml/2018/threadedcomments" xmlns:x="http://schemas.openxmlformats.org/spreadsheetml/2006/main">
  <threadedComment ref="O6" dT="2026-04-27T06:42:05.91" personId="{4804C753-63C9-465C-9587-EF8F24A5BB88}" id="{D92A2DE3-F725-4B30-9EA3-5AE3E0D6840D}">
    <text>RBL: 1,182 = WCDL (100) + SBLC (100) + BG sub-limit of LC (25) + Pre-Acceptance LCBD (100) + SBLC for BC (190) + Capex LC (25) + LC-backed FD of FDOD (50) + PID standalone (100) + BC GIFT WC (100) + BC GIFT CAPEX (172). Net of overlaps = 1,182.</text>
  </threadedComment>
  <threadedComment ref="P6" dT="2026-04-27T06:42:05.91" personId="{4804C753-63C9-465C-9587-EF8F24A5BB88}" id="{2E8B200C-4120-43D7-9139-5CF611E8AA6A}">
    <text>Source: RBL 31-Dec-2025 — Overall cap excl. FD-backed = ₹300 Cr.</text>
  </threadedComment>
  <threadedComment ref="O7" dT="2026-04-27T06:42:05.91" personId="{4804C753-63C9-465C-9587-EF8F24A5BB88}" id="{6F60AA98-FDDC-4C06-95F8-FBCFE8BE76C2}">
    <text>YBL: 250 = WCDL sub-limit of LC (50) + BG/SBLC sub-limit of LC (200).</text>
  </threadedComment>
  <threadedComment ref="P7" dT="2026-04-27T06:42:05.91" personId="{4804C753-63C9-465C-9587-EF8F24A5BB88}" id="{772483D2-7540-47CA-8493-49E6980340C7}">
    <text>Source: YBL 19-Mar-2026 — WC cap net of ₹1 Cr receivable finance = ₹200 Cr.</text>
  </threadedComment>
  <threadedComment ref="P8" dT="2026-04-27T06:42:05.92" personId="{4804C753-63C9-465C-9587-EF8F24A5BB88}" id="{B4D40B02-9C7D-46A9-A618-0AB4245D9C64}">
    <text>Bajaj — single standalone TL, no separate cap; cap = full sanction ₹150 Cr.</text>
  </threadedComment>
  <threadedComment ref="O9" dT="2026-04-27T06:42:05.91" personId="{4804C753-63C9-465C-9587-EF8F24A5BB88}" id="{F654C510-5F17-4709-9F8D-D43D85E381E8}">
    <text>ICICI: 330 = WCDL sub-limit of CC (50) + SBLC sub-limit of LC (150) + BG Perf sub-limit of LC (25) + BG Fin sub-limit of LC (5) + Capex LC within LC umbrella (100). Per declared sub-limits.</text>
  </threadedComment>
  <threadedComment ref="P9" dT="2026-04-27T06:42:05.92" personId="{4804C753-63C9-465C-9587-EF8F24A5BB88}" id="{9E1470F3-3124-4D3D-A5F9-14924745CEC0}">
    <text>Source: ICICI 16-Sep-2025 — Aggregate sanctioned exposure cap = ₹200 Cr.</text>
  </threadedComment>
  <threadedComment ref="O10" dT="2026-04-27T06:42:05.91" personId="{4804C753-63C9-465C-9587-EF8F24A5BB88}" id="{BED488FB-9857-454F-950C-A8C055BC9C1D}">
    <text>SIB: 250 = WCL sub-limit of CC (50) + SBLC sub-limit of LC (150) + Capex LC within LC (50).</text>
  </threadedComment>
  <threadedComment ref="P10" dT="2026-04-27T06:42:05.92" personId="{4804C753-63C9-465C-9587-EF8F24A5BB88}" id="{602943BF-C354-4964-A1D8-62AE6839CFC6}">
    <text>Source: SIB 21-Jun-2025 — LC + Capex LC combined cap = ₹150 Cr.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F32625-2098-482D-97E1-6F50246B78B0}">
  <we:reference id="WA200009404" version="1.0.0.8" store="Omex" storeType="OMEX"/>
  <we:alternateReferences>
    <we:reference id="WA200009404" version="1.0.0.8" store="WA200009404" storeType="OMEX"/>
  </we:alternateReferences>
  <we:properties>
    <we:property name="claude.fileId" value="&quot;51e06a0e-576d-4edc-bd27-451c5a6df045&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8" Type="http://schemas.openxmlformats.org/officeDocument/2006/relationships/hyperlink" Target="../../Downloads/JCL_Debt_Model_v1_3_INTERACTIVE.xlsx" TargetMode="External"/><Relationship Id="rId13" Type="http://schemas.openxmlformats.org/officeDocument/2006/relationships/hyperlink" Target="../../Downloads/JCL_Debt_Model_v1_3_INTERACTIVE.xlsx" TargetMode="External"/><Relationship Id="rId18" Type="http://schemas.openxmlformats.org/officeDocument/2006/relationships/hyperlink" Target="../../Downloads/JCL_Debt_Model_v1_3_INTERACTIVE.xlsx" TargetMode="External"/><Relationship Id="rId26" Type="http://schemas.openxmlformats.org/officeDocument/2006/relationships/hyperlink" Target="../../Downloads/JCL_Debt_Model_v1_3_INTERACTIVE.xlsx" TargetMode="External"/><Relationship Id="rId3" Type="http://schemas.openxmlformats.org/officeDocument/2006/relationships/hyperlink" Target="../../Downloads/JCL_Debt_Model_v1_3_INTERACTIVE.xlsx" TargetMode="External"/><Relationship Id="rId21" Type="http://schemas.openxmlformats.org/officeDocument/2006/relationships/hyperlink" Target="../../Downloads/JCL_Debt_Model_v1_3_INTERACTIVE.xlsx" TargetMode="External"/><Relationship Id="rId7" Type="http://schemas.openxmlformats.org/officeDocument/2006/relationships/hyperlink" Target="../../Downloads/JCL_Debt_Model_v1_3_INTERACTIVE.xlsx" TargetMode="External"/><Relationship Id="rId12" Type="http://schemas.openxmlformats.org/officeDocument/2006/relationships/hyperlink" Target="../../Downloads/JCL_Debt_Model_v1_3_INTERACTIVE.xlsx" TargetMode="External"/><Relationship Id="rId17" Type="http://schemas.openxmlformats.org/officeDocument/2006/relationships/hyperlink" Target="../../Downloads/JCL_Debt_Model_v1_3_INTERACTIVE.xlsx" TargetMode="External"/><Relationship Id="rId25" Type="http://schemas.openxmlformats.org/officeDocument/2006/relationships/hyperlink" Target="../../Downloads/JCL_Debt_Model_v1_3_INTERACTIVE.xlsx" TargetMode="External"/><Relationship Id="rId2" Type="http://schemas.openxmlformats.org/officeDocument/2006/relationships/hyperlink" Target="../../Downloads/JCL_Debt_Model_v1_3_INTERACTIVE.xlsx" TargetMode="External"/><Relationship Id="rId16" Type="http://schemas.openxmlformats.org/officeDocument/2006/relationships/hyperlink" Target="../../Downloads/JCL_Debt_Model_v1_3_INTERACTIVE.xlsx" TargetMode="External"/><Relationship Id="rId20" Type="http://schemas.openxmlformats.org/officeDocument/2006/relationships/hyperlink" Target="../../Downloads/JCL_Debt_Model_v1_3_INTERACTIVE.xlsx" TargetMode="External"/><Relationship Id="rId29" Type="http://schemas.openxmlformats.org/officeDocument/2006/relationships/hyperlink" Target="../../Downloads/JCL_Debt_Model_v1_3_INTERACTIVE.xlsx" TargetMode="External"/><Relationship Id="rId1" Type="http://schemas.openxmlformats.org/officeDocument/2006/relationships/hyperlink" Target="../../Downloads/JCL_Debt_Model_v1_3_INTERACTIVE.xlsx" TargetMode="External"/><Relationship Id="rId6" Type="http://schemas.openxmlformats.org/officeDocument/2006/relationships/hyperlink" Target="../../Downloads/JCL_Debt_Model_v1_3_INTERACTIVE.xlsx" TargetMode="External"/><Relationship Id="rId11" Type="http://schemas.openxmlformats.org/officeDocument/2006/relationships/hyperlink" Target="../../Downloads/JCL_Debt_Model_v1_3_INTERACTIVE.xlsx" TargetMode="External"/><Relationship Id="rId24" Type="http://schemas.openxmlformats.org/officeDocument/2006/relationships/hyperlink" Target="../../Downloads/JCL_Debt_Model_v1_3_INTERACTIVE.xlsx" TargetMode="External"/><Relationship Id="rId5" Type="http://schemas.openxmlformats.org/officeDocument/2006/relationships/hyperlink" Target="../../Downloads/JCL_Debt_Model_v1_3_INTERACTIVE.xlsx" TargetMode="External"/><Relationship Id="rId15" Type="http://schemas.openxmlformats.org/officeDocument/2006/relationships/hyperlink" Target="../../Downloads/JCL_Debt_Model_v1_3_INTERACTIVE.xlsx" TargetMode="External"/><Relationship Id="rId23" Type="http://schemas.openxmlformats.org/officeDocument/2006/relationships/hyperlink" Target="../../Downloads/JCL_Debt_Model_v1_3_INTERACTIVE.xlsx" TargetMode="External"/><Relationship Id="rId28" Type="http://schemas.openxmlformats.org/officeDocument/2006/relationships/hyperlink" Target="../../Downloads/JCL_Debt_Model_v1_3_INTERACTIVE.xlsx" TargetMode="External"/><Relationship Id="rId10" Type="http://schemas.openxmlformats.org/officeDocument/2006/relationships/hyperlink" Target="../../Downloads/JCL_Debt_Model_v1_3_INTERACTIVE.xlsx" TargetMode="External"/><Relationship Id="rId19" Type="http://schemas.openxmlformats.org/officeDocument/2006/relationships/hyperlink" Target="../../Downloads/JCL_Debt_Model_v1_3_INTERACTIVE.xlsx" TargetMode="External"/><Relationship Id="rId4" Type="http://schemas.openxmlformats.org/officeDocument/2006/relationships/hyperlink" Target="../../Downloads/JCL_Debt_Model_v1_3_INTERACTIVE.xlsx" TargetMode="External"/><Relationship Id="rId9" Type="http://schemas.openxmlformats.org/officeDocument/2006/relationships/hyperlink" Target="../../Downloads/JCL_Debt_Model_v1_3_INTERACTIVE.xlsx" TargetMode="External"/><Relationship Id="rId14" Type="http://schemas.openxmlformats.org/officeDocument/2006/relationships/hyperlink" Target="../../Downloads/JCL_Debt_Model_v1_3_INTERACTIVE.xlsx" TargetMode="External"/><Relationship Id="rId22" Type="http://schemas.openxmlformats.org/officeDocument/2006/relationships/hyperlink" Target="../../Downloads/JCL_Debt_Model_v1_3_INTERACTIVE.xlsx" TargetMode="External"/><Relationship Id="rId27" Type="http://schemas.openxmlformats.org/officeDocument/2006/relationships/hyperlink" Target="../../Downloads/JCL_Debt_Model_v1_3_INTERACTIVE.xlsx" TargetMode="External"/><Relationship Id="rId30" Type="http://schemas.openxmlformats.org/officeDocument/2006/relationships/hyperlink" Target="../../Downloads/JCL_Debt_Model_v1_3_INTERACTIVE.xlsx"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B2:M46"/>
  <sheetViews>
    <sheetView showGridLines="0" topLeftCell="B1" zoomScaleNormal="100" workbookViewId="0">
      <selection activeCell="B12" sqref="B12:D12"/>
    </sheetView>
  </sheetViews>
  <sheetFormatPr defaultColWidth="8.6640625" defaultRowHeight="14.4" x14ac:dyDescent="0.3"/>
  <cols>
    <col min="1" max="1" width="4" customWidth="1"/>
    <col min="2" max="14" width="18" customWidth="1"/>
  </cols>
  <sheetData>
    <row r="2" spans="2:13" ht="16.05" customHeight="1" x14ac:dyDescent="0.3"/>
    <row r="3" spans="2:13" ht="37.5" customHeight="1" x14ac:dyDescent="0.3">
      <c r="B3" s="287" t="s">
        <v>4</v>
      </c>
      <c r="C3" s="287"/>
      <c r="D3" s="287"/>
      <c r="E3" s="287"/>
      <c r="F3" s="287"/>
      <c r="G3" s="287"/>
      <c r="H3" s="287"/>
      <c r="I3" s="287"/>
      <c r="J3" s="287"/>
      <c r="K3" s="287"/>
      <c r="L3" s="287"/>
      <c r="M3" s="287"/>
    </row>
    <row r="4" spans="2:13" ht="27.75" customHeight="1" x14ac:dyDescent="0.3">
      <c r="B4" s="288" t="s">
        <v>5</v>
      </c>
      <c r="C4" s="288"/>
      <c r="D4" s="288"/>
      <c r="E4" s="288"/>
      <c r="F4" s="288"/>
      <c r="G4" s="288"/>
      <c r="H4" s="288"/>
      <c r="I4" s="288"/>
      <c r="J4" s="288"/>
      <c r="K4" s="288"/>
      <c r="L4" s="288"/>
      <c r="M4" s="288"/>
    </row>
    <row r="5" spans="2:13" ht="21.75" customHeight="1" x14ac:dyDescent="0.3">
      <c r="B5" s="347" t="s">
        <v>6</v>
      </c>
      <c r="C5" s="347"/>
      <c r="D5" s="347"/>
      <c r="E5" s="347"/>
      <c r="F5" s="347"/>
      <c r="G5" s="347"/>
      <c r="H5" s="347"/>
      <c r="I5" s="347"/>
      <c r="J5" s="347"/>
      <c r="K5" s="347"/>
      <c r="L5" s="347"/>
      <c r="M5" s="347"/>
    </row>
    <row r="6" spans="2:13" ht="7.5" customHeight="1" x14ac:dyDescent="0.3"/>
    <row r="7" spans="2:13" ht="7.5" customHeight="1" x14ac:dyDescent="0.3"/>
    <row r="8" spans="2:13" ht="21.75" customHeight="1" x14ac:dyDescent="0.3">
      <c r="B8" s="289" t="s">
        <v>7</v>
      </c>
      <c r="C8" s="289"/>
      <c r="D8" s="289"/>
      <c r="E8" s="290" t="s">
        <v>8</v>
      </c>
      <c r="F8" s="290"/>
      <c r="G8" s="290"/>
      <c r="H8" s="290"/>
      <c r="I8" s="290"/>
      <c r="J8" s="290"/>
      <c r="K8" s="290"/>
      <c r="L8" s="290"/>
      <c r="M8" s="290"/>
    </row>
    <row r="9" spans="2:13" ht="21.75" customHeight="1" x14ac:dyDescent="0.3">
      <c r="B9" s="289" t="s">
        <v>9</v>
      </c>
      <c r="C9" s="289"/>
      <c r="D9" s="289"/>
      <c r="E9" s="290" t="s">
        <v>10</v>
      </c>
      <c r="F9" s="290"/>
      <c r="G9" s="290"/>
      <c r="H9" s="290"/>
      <c r="I9" s="290"/>
      <c r="J9" s="290"/>
      <c r="K9" s="290"/>
      <c r="L9" s="290"/>
      <c r="M9" s="290"/>
    </row>
    <row r="10" spans="2:13" ht="21.75" customHeight="1" x14ac:dyDescent="0.3">
      <c r="B10" s="289" t="s">
        <v>11</v>
      </c>
      <c r="C10" s="289"/>
      <c r="D10" s="289"/>
      <c r="E10" s="290" t="s">
        <v>12</v>
      </c>
      <c r="F10" s="290"/>
      <c r="G10" s="290"/>
      <c r="H10" s="290"/>
      <c r="I10" s="290"/>
      <c r="J10" s="290"/>
      <c r="K10" s="290"/>
      <c r="L10" s="290"/>
      <c r="M10" s="290"/>
    </row>
    <row r="11" spans="2:13" ht="21.75" customHeight="1" x14ac:dyDescent="0.3">
      <c r="B11" s="289" t="s">
        <v>13</v>
      </c>
      <c r="C11" s="289"/>
      <c r="D11" s="289"/>
      <c r="E11" s="290" t="s">
        <v>14</v>
      </c>
      <c r="F11" s="290"/>
      <c r="G11" s="290"/>
      <c r="H11" s="290"/>
      <c r="I11" s="290"/>
      <c r="J11" s="290"/>
      <c r="K11" s="290"/>
      <c r="L11" s="290"/>
      <c r="M11" s="290"/>
    </row>
    <row r="12" spans="2:13" ht="21.75" customHeight="1" x14ac:dyDescent="0.3">
      <c r="B12" s="289" t="s">
        <v>15</v>
      </c>
      <c r="C12" s="289"/>
      <c r="D12" s="289"/>
      <c r="E12" s="291" t="s">
        <v>16</v>
      </c>
      <c r="F12" s="291"/>
      <c r="G12" s="291"/>
      <c r="H12" s="291"/>
      <c r="I12" s="291"/>
      <c r="J12" s="291"/>
      <c r="K12" s="291"/>
      <c r="L12" s="291"/>
      <c r="M12" s="291"/>
    </row>
    <row r="13" spans="2:13" ht="21.75" customHeight="1" x14ac:dyDescent="0.3">
      <c r="B13" s="289" t="s">
        <v>17</v>
      </c>
      <c r="C13" s="289"/>
      <c r="D13" s="289"/>
      <c r="E13" s="292">
        <v>46133</v>
      </c>
      <c r="F13" s="292"/>
      <c r="G13" s="292"/>
      <c r="H13" s="292"/>
      <c r="I13" s="292"/>
      <c r="J13" s="292"/>
      <c r="K13" s="292"/>
      <c r="L13" s="292"/>
      <c r="M13" s="292"/>
    </row>
    <row r="14" spans="2:13" ht="21.75" customHeight="1" x14ac:dyDescent="0.3">
      <c r="B14" s="289" t="s">
        <v>18</v>
      </c>
      <c r="C14" s="289"/>
      <c r="D14" s="289"/>
      <c r="E14" s="290" t="s">
        <v>19</v>
      </c>
      <c r="F14" s="290"/>
      <c r="G14" s="290"/>
      <c r="H14" s="290"/>
      <c r="I14" s="290"/>
      <c r="J14" s="290"/>
      <c r="K14" s="290"/>
      <c r="L14" s="290"/>
      <c r="M14" s="290"/>
    </row>
    <row r="15" spans="2:13" ht="21.75" customHeight="1" x14ac:dyDescent="0.3">
      <c r="B15" s="289" t="s">
        <v>20</v>
      </c>
      <c r="C15" s="289"/>
      <c r="D15" s="289"/>
      <c r="E15" s="290" t="s">
        <v>21</v>
      </c>
      <c r="F15" s="290"/>
      <c r="G15" s="290"/>
      <c r="H15" s="290"/>
      <c r="I15" s="290"/>
      <c r="J15" s="290"/>
      <c r="K15" s="290"/>
      <c r="L15" s="290"/>
      <c r="M15" s="290"/>
    </row>
    <row r="16" spans="2:13" ht="21.75" customHeight="1" x14ac:dyDescent="0.3">
      <c r="B16" s="289" t="s">
        <v>22</v>
      </c>
      <c r="C16" s="289"/>
      <c r="D16" s="289"/>
      <c r="E16" s="293">
        <v>5</v>
      </c>
      <c r="F16" s="293"/>
      <c r="G16" s="293"/>
      <c r="H16" s="293"/>
      <c r="I16" s="293"/>
      <c r="J16" s="293"/>
      <c r="K16" s="293"/>
      <c r="L16" s="293"/>
      <c r="M16" s="293"/>
    </row>
    <row r="17" spans="2:13" ht="21.75" customHeight="1" x14ac:dyDescent="0.3">
      <c r="B17" s="289" t="s">
        <v>23</v>
      </c>
      <c r="C17" s="289"/>
      <c r="D17" s="289"/>
      <c r="E17" s="293">
        <v>34</v>
      </c>
      <c r="F17" s="293"/>
      <c r="G17" s="293"/>
      <c r="H17" s="293"/>
      <c r="I17" s="293"/>
      <c r="J17" s="293"/>
      <c r="K17" s="293"/>
      <c r="L17" s="293"/>
      <c r="M17" s="293"/>
    </row>
    <row r="18" spans="2:13" ht="9.75" customHeight="1" x14ac:dyDescent="0.3"/>
    <row r="19" spans="2:13" ht="25.5" customHeight="1" x14ac:dyDescent="0.3">
      <c r="B19" s="294" t="s">
        <v>24</v>
      </c>
      <c r="C19" s="294"/>
      <c r="D19" s="294"/>
      <c r="E19" s="294"/>
      <c r="F19" s="294"/>
      <c r="G19" s="294"/>
      <c r="H19" s="294"/>
      <c r="I19" s="294"/>
      <c r="J19" s="294"/>
      <c r="K19" s="294"/>
      <c r="L19" s="294"/>
      <c r="M19" s="294"/>
    </row>
    <row r="20" spans="2:13" ht="49.5" customHeight="1" x14ac:dyDescent="0.3">
      <c r="B20" s="295" t="s">
        <v>25</v>
      </c>
      <c r="C20" s="296"/>
      <c r="D20" s="296"/>
      <c r="E20" s="296"/>
      <c r="F20" s="296"/>
      <c r="G20" s="296"/>
      <c r="H20" s="296"/>
      <c r="I20" s="296"/>
      <c r="J20" s="296"/>
      <c r="K20" s="296"/>
      <c r="L20" s="296"/>
      <c r="M20" s="297"/>
    </row>
    <row r="21" spans="2:13" ht="4.05" customHeight="1" x14ac:dyDescent="0.3">
      <c r="B21" s="348"/>
      <c r="C21" s="349"/>
      <c r="D21" s="349"/>
      <c r="E21" s="349"/>
      <c r="F21" s="349"/>
      <c r="G21" s="349"/>
      <c r="H21" s="349"/>
      <c r="I21" s="349"/>
      <c r="J21" s="349"/>
      <c r="K21" s="349"/>
      <c r="L21" s="349"/>
      <c r="M21" s="350"/>
    </row>
    <row r="22" spans="2:13" ht="4.05" customHeight="1" x14ac:dyDescent="0.3">
      <c r="B22" s="351"/>
      <c r="C22" s="352"/>
      <c r="D22" s="352"/>
      <c r="E22" s="352"/>
      <c r="F22" s="352"/>
      <c r="G22" s="352"/>
      <c r="H22" s="352"/>
      <c r="I22" s="352"/>
      <c r="J22" s="352"/>
      <c r="K22" s="352"/>
      <c r="L22" s="352"/>
      <c r="M22" s="353"/>
    </row>
    <row r="23" spans="2:13" ht="4.05" customHeight="1" x14ac:dyDescent="0.3">
      <c r="B23" s="354"/>
      <c r="C23" s="355"/>
      <c r="D23" s="355"/>
      <c r="E23" s="355"/>
      <c r="F23" s="355"/>
      <c r="G23" s="355"/>
      <c r="H23" s="355"/>
      <c r="I23" s="355"/>
      <c r="J23" s="355"/>
      <c r="K23" s="355"/>
      <c r="L23" s="355"/>
      <c r="M23" s="356"/>
    </row>
    <row r="24" spans="2:13" ht="4.05" customHeight="1" x14ac:dyDescent="0.3">
      <c r="B24" s="357"/>
      <c r="C24" s="358"/>
      <c r="D24" s="358"/>
      <c r="E24" s="358"/>
      <c r="F24" s="358"/>
      <c r="G24" s="358"/>
      <c r="H24" s="358"/>
      <c r="I24" s="358"/>
      <c r="J24" s="358"/>
      <c r="K24" s="358"/>
      <c r="L24" s="358"/>
      <c r="M24" s="359"/>
    </row>
    <row r="25" spans="2:13" ht="25.5" customHeight="1" x14ac:dyDescent="0.3">
      <c r="B25" s="298" t="s">
        <v>26</v>
      </c>
      <c r="C25" s="298"/>
      <c r="D25" s="298"/>
      <c r="E25" s="298"/>
      <c r="F25" s="298"/>
      <c r="G25" s="298"/>
      <c r="H25" s="298"/>
      <c r="I25" s="298"/>
      <c r="J25" s="298"/>
      <c r="K25" s="298"/>
      <c r="L25" s="298"/>
      <c r="M25" s="298"/>
    </row>
    <row r="26" spans="2:13" ht="19.5" customHeight="1" x14ac:dyDescent="0.3">
      <c r="B26" s="299" t="s">
        <v>27</v>
      </c>
      <c r="C26" s="299"/>
      <c r="D26" s="299"/>
      <c r="E26" s="290" t="s">
        <v>28</v>
      </c>
      <c r="F26" s="290"/>
      <c r="G26" s="290"/>
      <c r="H26" s="290"/>
      <c r="I26" s="290"/>
      <c r="J26" s="290"/>
      <c r="K26" s="290"/>
      <c r="L26" s="290"/>
      <c r="M26" s="290"/>
    </row>
    <row r="27" spans="2:13" ht="19.5" customHeight="1" x14ac:dyDescent="0.3">
      <c r="B27" s="299" t="s">
        <v>29</v>
      </c>
      <c r="C27" s="299"/>
      <c r="D27" s="299"/>
      <c r="E27" s="290" t="s">
        <v>30</v>
      </c>
      <c r="F27" s="290"/>
      <c r="G27" s="290"/>
      <c r="H27" s="290"/>
      <c r="I27" s="290"/>
      <c r="J27" s="290"/>
      <c r="K27" s="290"/>
      <c r="L27" s="290"/>
      <c r="M27" s="290"/>
    </row>
    <row r="28" spans="2:13" ht="19.5" customHeight="1" x14ac:dyDescent="0.3">
      <c r="B28" s="299" t="s">
        <v>31</v>
      </c>
      <c r="C28" s="299"/>
      <c r="D28" s="299"/>
      <c r="E28" s="290" t="s">
        <v>32</v>
      </c>
      <c r="F28" s="290"/>
      <c r="G28" s="290"/>
      <c r="H28" s="290"/>
      <c r="I28" s="290"/>
      <c r="J28" s="290"/>
      <c r="K28" s="290"/>
      <c r="L28" s="290"/>
      <c r="M28" s="290"/>
    </row>
    <row r="29" spans="2:13" ht="19.5" customHeight="1" x14ac:dyDescent="0.3">
      <c r="B29" s="299" t="s">
        <v>33</v>
      </c>
      <c r="C29" s="299"/>
      <c r="D29" s="299"/>
      <c r="E29" s="290" t="s">
        <v>34</v>
      </c>
      <c r="F29" s="290"/>
      <c r="G29" s="290"/>
      <c r="H29" s="290"/>
      <c r="I29" s="290"/>
      <c r="J29" s="290"/>
      <c r="K29" s="290"/>
      <c r="L29" s="290"/>
      <c r="M29" s="290"/>
    </row>
    <row r="30" spans="2:13" ht="19.5" customHeight="1" x14ac:dyDescent="0.3">
      <c r="B30" s="299" t="s">
        <v>35</v>
      </c>
      <c r="C30" s="299"/>
      <c r="D30" s="299"/>
      <c r="E30" s="290" t="s">
        <v>36</v>
      </c>
      <c r="F30" s="290"/>
      <c r="G30" s="290"/>
      <c r="H30" s="290"/>
      <c r="I30" s="290"/>
      <c r="J30" s="290"/>
      <c r="K30" s="290"/>
      <c r="L30" s="290"/>
      <c r="M30" s="290"/>
    </row>
    <row r="31" spans="2:13" ht="19.5" customHeight="1" x14ac:dyDescent="0.3">
      <c r="B31" s="299" t="s">
        <v>37</v>
      </c>
      <c r="C31" s="299"/>
      <c r="D31" s="299"/>
      <c r="E31" s="290" t="s">
        <v>38</v>
      </c>
      <c r="F31" s="290"/>
      <c r="G31" s="290"/>
      <c r="H31" s="290"/>
      <c r="I31" s="290"/>
      <c r="J31" s="290"/>
      <c r="K31" s="290"/>
      <c r="L31" s="290"/>
      <c r="M31" s="290"/>
    </row>
    <row r="32" spans="2:13" ht="19.5" customHeight="1" x14ac:dyDescent="0.3">
      <c r="B32" s="299" t="s">
        <v>39</v>
      </c>
      <c r="C32" s="299"/>
      <c r="D32" s="299"/>
      <c r="E32" s="290" t="s">
        <v>40</v>
      </c>
      <c r="F32" s="290"/>
      <c r="G32" s="290"/>
      <c r="H32" s="290"/>
      <c r="I32" s="290"/>
      <c r="J32" s="290"/>
      <c r="K32" s="290"/>
      <c r="L32" s="290"/>
      <c r="M32" s="290"/>
    </row>
    <row r="33" spans="2:13" ht="19.5" customHeight="1" x14ac:dyDescent="0.3">
      <c r="B33" s="299" t="s">
        <v>41</v>
      </c>
      <c r="C33" s="299"/>
      <c r="D33" s="299"/>
      <c r="E33" s="290" t="s">
        <v>42</v>
      </c>
      <c r="F33" s="290"/>
      <c r="G33" s="290"/>
      <c r="H33" s="290"/>
      <c r="I33" s="290"/>
      <c r="J33" s="290"/>
      <c r="K33" s="290"/>
      <c r="L33" s="290"/>
      <c r="M33" s="290"/>
    </row>
    <row r="34" spans="2:13" ht="19.5" customHeight="1" x14ac:dyDescent="0.3">
      <c r="B34" s="299" t="s">
        <v>43</v>
      </c>
      <c r="C34" s="299"/>
      <c r="D34" s="299"/>
      <c r="E34" s="290" t="s">
        <v>44</v>
      </c>
      <c r="F34" s="290"/>
      <c r="G34" s="290"/>
      <c r="H34" s="290"/>
      <c r="I34" s="290"/>
      <c r="J34" s="290"/>
      <c r="K34" s="290"/>
      <c r="L34" s="290"/>
      <c r="M34" s="290"/>
    </row>
    <row r="35" spans="2:13" ht="19.5" customHeight="1" x14ac:dyDescent="0.3">
      <c r="B35" s="299" t="s">
        <v>45</v>
      </c>
      <c r="C35" s="299"/>
      <c r="D35" s="299"/>
      <c r="E35" s="290" t="s">
        <v>46</v>
      </c>
      <c r="F35" s="290"/>
      <c r="G35" s="290"/>
      <c r="H35" s="290"/>
      <c r="I35" s="290"/>
      <c r="J35" s="290"/>
      <c r="K35" s="290"/>
      <c r="L35" s="290"/>
      <c r="M35" s="290"/>
    </row>
    <row r="36" spans="2:13" ht="19.5" customHeight="1" x14ac:dyDescent="0.3">
      <c r="B36" s="299" t="s">
        <v>47</v>
      </c>
      <c r="C36" s="299"/>
      <c r="D36" s="299"/>
      <c r="E36" s="290" t="s">
        <v>48</v>
      </c>
      <c r="F36" s="290"/>
      <c r="G36" s="290"/>
      <c r="H36" s="290"/>
      <c r="I36" s="290"/>
      <c r="J36" s="290"/>
      <c r="K36" s="290"/>
      <c r="L36" s="290"/>
      <c r="M36" s="290"/>
    </row>
    <row r="37" spans="2:13" ht="19.5" customHeight="1" x14ac:dyDescent="0.3">
      <c r="B37" s="299" t="s">
        <v>49</v>
      </c>
      <c r="C37" s="299"/>
      <c r="D37" s="299"/>
      <c r="E37" s="290" t="s">
        <v>50</v>
      </c>
      <c r="F37" s="290"/>
      <c r="G37" s="290"/>
      <c r="H37" s="290"/>
      <c r="I37" s="290"/>
      <c r="J37" s="290"/>
      <c r="K37" s="290"/>
      <c r="L37" s="290"/>
      <c r="M37" s="290"/>
    </row>
    <row r="38" spans="2:13" ht="19.5" customHeight="1" x14ac:dyDescent="0.3">
      <c r="B38" s="299" t="s">
        <v>51</v>
      </c>
      <c r="C38" s="299"/>
      <c r="D38" s="299"/>
      <c r="E38" s="290" t="s">
        <v>52</v>
      </c>
      <c r="F38" s="290"/>
      <c r="G38" s="290"/>
      <c r="H38" s="290"/>
      <c r="I38" s="290"/>
      <c r="J38" s="290"/>
      <c r="K38" s="290"/>
      <c r="L38" s="290"/>
      <c r="M38" s="290"/>
    </row>
    <row r="39" spans="2:13" ht="19.5" customHeight="1" x14ac:dyDescent="0.3">
      <c r="B39" s="299" t="s">
        <v>53</v>
      </c>
      <c r="C39" s="299"/>
      <c r="D39" s="299"/>
      <c r="E39" s="290" t="s">
        <v>54</v>
      </c>
      <c r="F39" s="290"/>
      <c r="G39" s="290"/>
      <c r="H39" s="290"/>
      <c r="I39" s="290"/>
      <c r="J39" s="290"/>
      <c r="K39" s="290"/>
      <c r="L39" s="290"/>
      <c r="M39" s="290"/>
    </row>
    <row r="40" spans="2:13" ht="19.5" customHeight="1" x14ac:dyDescent="0.3">
      <c r="B40" s="299" t="s">
        <v>55</v>
      </c>
      <c r="C40" s="299"/>
      <c r="D40" s="299"/>
      <c r="E40" s="290" t="s">
        <v>56</v>
      </c>
      <c r="F40" s="290"/>
      <c r="G40" s="290"/>
      <c r="H40" s="290"/>
      <c r="I40" s="290"/>
      <c r="J40" s="290"/>
      <c r="K40" s="290"/>
      <c r="L40" s="290"/>
      <c r="M40" s="290"/>
    </row>
    <row r="41" spans="2:13" ht="19.5" customHeight="1" x14ac:dyDescent="0.3">
      <c r="B41" s="299" t="s">
        <v>1</v>
      </c>
      <c r="C41" s="299"/>
      <c r="D41" s="299"/>
      <c r="E41" s="290" t="s">
        <v>57</v>
      </c>
      <c r="F41" s="290"/>
      <c r="G41" s="290"/>
      <c r="H41" s="290"/>
      <c r="I41" s="290"/>
      <c r="J41" s="290"/>
      <c r="K41" s="290"/>
      <c r="L41" s="290"/>
      <c r="M41" s="290"/>
    </row>
    <row r="42" spans="2:13" ht="10.050000000000001" customHeight="1" x14ac:dyDescent="0.3"/>
    <row r="43" spans="2:13" ht="21.75" customHeight="1" x14ac:dyDescent="0.3">
      <c r="B43" s="360" t="s">
        <v>58</v>
      </c>
      <c r="C43" s="360"/>
      <c r="D43" s="360"/>
      <c r="E43" s="360"/>
      <c r="F43" s="360"/>
      <c r="G43" s="360"/>
      <c r="H43" s="360"/>
      <c r="I43" s="360"/>
      <c r="J43" s="360"/>
      <c r="K43" s="360"/>
      <c r="L43" s="360"/>
      <c r="M43" s="360"/>
    </row>
    <row r="44" spans="2:13" ht="39.75" customHeight="1" x14ac:dyDescent="0.4">
      <c r="B44" s="361" t="s">
        <v>16</v>
      </c>
      <c r="C44" s="361"/>
      <c r="D44" s="361"/>
      <c r="E44" s="361"/>
      <c r="F44" s="361"/>
      <c r="G44" s="361"/>
      <c r="H44" s="361"/>
      <c r="I44" s="361"/>
      <c r="J44" s="361"/>
      <c r="K44" s="361"/>
      <c r="L44" s="361"/>
      <c r="M44" s="361"/>
    </row>
    <row r="45" spans="2:13" ht="21.75" customHeight="1" x14ac:dyDescent="0.3">
      <c r="B45" s="337" t="s">
        <v>59</v>
      </c>
      <c r="C45" s="337"/>
      <c r="D45" s="337"/>
      <c r="E45" s="337"/>
      <c r="F45" s="337"/>
      <c r="G45" s="337"/>
      <c r="H45" s="337"/>
      <c r="I45" s="337"/>
      <c r="J45" s="337"/>
      <c r="K45" s="337"/>
      <c r="L45" s="337"/>
      <c r="M45" s="337"/>
    </row>
    <row r="46" spans="2:13" ht="15" customHeight="1" x14ac:dyDescent="0.3"/>
  </sheetData>
  <mergeCells count="61">
    <mergeCell ref="B43:M43"/>
    <mergeCell ref="B44:M44"/>
    <mergeCell ref="B45:M45"/>
    <mergeCell ref="B39:D39"/>
    <mergeCell ref="E39:M39"/>
    <mergeCell ref="B40:D40"/>
    <mergeCell ref="E40:M40"/>
    <mergeCell ref="B41:D41"/>
    <mergeCell ref="E41:M41"/>
    <mergeCell ref="B36:D36"/>
    <mergeCell ref="E36:M36"/>
    <mergeCell ref="B37:D37"/>
    <mergeCell ref="E37:M37"/>
    <mergeCell ref="B38:D38"/>
    <mergeCell ref="E38:M38"/>
    <mergeCell ref="B33:D33"/>
    <mergeCell ref="E33:M33"/>
    <mergeCell ref="B34:D34"/>
    <mergeCell ref="E34:M34"/>
    <mergeCell ref="B35:D35"/>
    <mergeCell ref="E35:M35"/>
    <mergeCell ref="B30:D30"/>
    <mergeCell ref="E30:M30"/>
    <mergeCell ref="B31:D31"/>
    <mergeCell ref="E31:M31"/>
    <mergeCell ref="B32:D32"/>
    <mergeCell ref="E32:M32"/>
    <mergeCell ref="B27:D27"/>
    <mergeCell ref="E27:M27"/>
    <mergeCell ref="B28:D28"/>
    <mergeCell ref="E28:M28"/>
    <mergeCell ref="B29:D29"/>
    <mergeCell ref="E29:M29"/>
    <mergeCell ref="B19:M19"/>
    <mergeCell ref="B20:M24"/>
    <mergeCell ref="B25:M25"/>
    <mergeCell ref="B26:D26"/>
    <mergeCell ref="E26:M26"/>
    <mergeCell ref="B15:D15"/>
    <mergeCell ref="E15:M15"/>
    <mergeCell ref="B16:D16"/>
    <mergeCell ref="E16:M16"/>
    <mergeCell ref="B17:D17"/>
    <mergeCell ref="E17:M17"/>
    <mergeCell ref="B12:D12"/>
    <mergeCell ref="E12:M12"/>
    <mergeCell ref="B13:D13"/>
    <mergeCell ref="E13:M13"/>
    <mergeCell ref="B14:D14"/>
    <mergeCell ref="E14:M14"/>
    <mergeCell ref="B9:D9"/>
    <mergeCell ref="E9:M9"/>
    <mergeCell ref="B10:D10"/>
    <mergeCell ref="E10:M10"/>
    <mergeCell ref="B11:D11"/>
    <mergeCell ref="E11:M11"/>
    <mergeCell ref="B3:M3"/>
    <mergeCell ref="B4:M4"/>
    <mergeCell ref="B5:M5"/>
    <mergeCell ref="B8:D8"/>
    <mergeCell ref="E8:M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AD47"/>
  </sheetPr>
  <dimension ref="A2:G41"/>
  <sheetViews>
    <sheetView showGridLines="0" zoomScaleNormal="100" workbookViewId="0">
      <pane xSplit="2" ySplit="5" topLeftCell="C6" activePane="bottomRight" state="frozen"/>
      <selection pane="topRight" activeCell="C1" sqref="C1"/>
      <selection pane="bottomLeft" activeCell="A6" sqref="A6"/>
      <selection pane="bottomRight" activeCell="E8" sqref="E8"/>
    </sheetView>
  </sheetViews>
  <sheetFormatPr defaultColWidth="8.6640625" defaultRowHeight="14.4" x14ac:dyDescent="0.3"/>
  <cols>
    <col min="1" max="1" width="3" customWidth="1"/>
    <col min="2" max="2" width="4" customWidth="1"/>
    <col min="3" max="3" width="48" customWidth="1"/>
    <col min="4" max="5" width="16" customWidth="1"/>
    <col min="6" max="6" width="14" customWidth="1"/>
    <col min="7" max="7" width="40" customWidth="1"/>
  </cols>
  <sheetData>
    <row r="2" spans="2:7" ht="36" customHeight="1" x14ac:dyDescent="0.3">
      <c r="B2" s="300" t="s">
        <v>873</v>
      </c>
      <c r="C2" s="300"/>
      <c r="D2" s="300"/>
      <c r="E2" s="300"/>
      <c r="F2" s="300"/>
      <c r="G2" s="300"/>
    </row>
    <row r="3" spans="2:7" ht="27.75" customHeight="1" x14ac:dyDescent="0.3">
      <c r="B3" s="311" t="s">
        <v>874</v>
      </c>
      <c r="C3" s="311"/>
      <c r="D3" s="311"/>
      <c r="E3" s="311"/>
      <c r="F3" s="311"/>
      <c r="G3" s="311"/>
    </row>
    <row r="4" spans="2:7" s="126" customFormat="1" ht="7.95" customHeight="1" x14ac:dyDescent="0.3"/>
    <row r="5" spans="2:7" ht="39.75" customHeight="1" x14ac:dyDescent="0.3">
      <c r="B5" s="9" t="s">
        <v>422</v>
      </c>
      <c r="C5" s="9" t="s">
        <v>875</v>
      </c>
      <c r="D5" s="9" t="s">
        <v>876</v>
      </c>
      <c r="E5" s="9" t="s">
        <v>804</v>
      </c>
      <c r="F5" s="9" t="s">
        <v>0</v>
      </c>
      <c r="G5" s="9" t="s">
        <v>1</v>
      </c>
    </row>
    <row r="6" spans="2:7" ht="25.5" customHeight="1" x14ac:dyDescent="0.3">
      <c r="B6" s="99">
        <v>1</v>
      </c>
      <c r="C6" s="103" t="s">
        <v>877</v>
      </c>
      <c r="D6" s="94">
        <f>34</f>
        <v>34</v>
      </c>
      <c r="E6" s="94">
        <f>COUNTA('Facility Master'!$D$5:$D$38)</f>
        <v>34</v>
      </c>
      <c r="F6" s="40" t="str">
        <f t="shared" ref="F6:F20" si="0">IF(IFERROR(ABS(D6-E6)&lt;0.01,D6=E6),"PASS","FAIL")</f>
        <v>PASS</v>
      </c>
      <c r="G6" s="105" t="s">
        <v>878</v>
      </c>
    </row>
    <row r="7" spans="2:7" ht="25.5" customHeight="1" x14ac:dyDescent="0.3">
      <c r="B7" s="101">
        <v>2</v>
      </c>
      <c r="C7" s="107" t="s">
        <v>879</v>
      </c>
      <c r="D7" s="60">
        <f>SUM('Facility Master'!$J$5:$J$38)</f>
        <v>3410.7</v>
      </c>
      <c r="E7" s="60">
        <f>'Lender Summary'!D11</f>
        <v>3410.7</v>
      </c>
      <c r="F7" s="55" t="str">
        <f t="shared" si="0"/>
        <v>PASS</v>
      </c>
      <c r="G7" s="109" t="s">
        <v>880</v>
      </c>
    </row>
    <row r="8" spans="2:7" ht="25.5" customHeight="1" x14ac:dyDescent="0.3">
      <c r="B8" s="99">
        <v>3</v>
      </c>
      <c r="C8" s="103" t="s">
        <v>881</v>
      </c>
      <c r="D8" s="45">
        <f>SUM('Facility Master'!$J$5:$J$38)</f>
        <v>3410.7</v>
      </c>
      <c r="E8" s="45">
        <f>SUMIFS('Facility Master'!$J$5:$J$38,'Facility Master'!$E$5:$E$38,"FB")+SUMIFS('Facility Master'!$J$5:$J$38,'Facility Master'!$E$5:$E$38,"FB-Term")+SUMIFS('Facility Master'!$J$5:$J$38,'Facility Master'!$E$5:$E$38,"FB-FCY")+SUMIFS('Facility Master'!$J$5:$J$38,'Facility Master'!$E$5:$E$38,"FB-FDbacked")+SUMIFS('Facility Master'!$J$5:$J$38,'Facility Master'!$E$5:$E$38,"NFB")+SUMIFS('Facility Master'!$J$5:$J$38,'Facility Master'!$E$5:$E$38,"NFB-FDbacked")+SUMIFS('Facility Master'!$J$5:$J$38,'Facility Master'!$E$5:$E$38,"Hedge")</f>
        <v>3410.7</v>
      </c>
      <c r="F8" s="40" t="str">
        <f t="shared" si="0"/>
        <v>PASS</v>
      </c>
      <c r="G8" s="105" t="s">
        <v>882</v>
      </c>
    </row>
    <row r="9" spans="2:7" ht="25.5" customHeight="1" x14ac:dyDescent="0.3">
      <c r="B9" s="101">
        <v>4</v>
      </c>
      <c r="C9" s="107" t="s">
        <v>883</v>
      </c>
      <c r="D9" s="97">
        <f>0</f>
        <v>0</v>
      </c>
      <c r="E9" s="97">
        <f>SUMPRODUCT(('Facility Master'!$L$5:$L$38&gt;'Facility Master'!$J$5:$J$38)*1)</f>
        <v>0</v>
      </c>
      <c r="F9" s="55" t="str">
        <f t="shared" si="0"/>
        <v>PASS</v>
      </c>
      <c r="G9" s="109" t="s">
        <v>884</v>
      </c>
    </row>
    <row r="10" spans="2:7" ht="25.5" customHeight="1" x14ac:dyDescent="0.3">
      <c r="B10" s="99">
        <v>5</v>
      </c>
      <c r="C10" s="103" t="s">
        <v>885</v>
      </c>
      <c r="D10" s="94">
        <f>0</f>
        <v>0</v>
      </c>
      <c r="E10" s="94">
        <f>SUMPRODUCT(('Facility Master'!$E$5:$E$38="FB-Term")*(ISNUMBER('Facility Master'!$W$5:$W$38))*(ISNUMBER('Facility Master'!$Y$5:$Y$38))*('Facility Master'!$Y$5:$Y$38&lt;'Facility Master'!$W$5:$W$38))</f>
        <v>0</v>
      </c>
      <c r="F10" s="40" t="str">
        <f t="shared" si="0"/>
        <v>PASS</v>
      </c>
      <c r="G10" s="105" t="s">
        <v>886</v>
      </c>
    </row>
    <row r="11" spans="2:7" ht="25.5" customHeight="1" x14ac:dyDescent="0.3">
      <c r="B11" s="101">
        <v>6</v>
      </c>
      <c r="C11" s="107" t="s">
        <v>887</v>
      </c>
      <c r="D11" s="60">
        <f>'Facility Master'!J13</f>
        <v>200</v>
      </c>
      <c r="E11" s="60">
        <f>TL_9_PRINC_REPAID_TO_DATE + TL_9_PRINC_OUTSTD</f>
        <v>200</v>
      </c>
      <c r="F11" s="55" t="str">
        <f t="shared" si="0"/>
        <v>PASS</v>
      </c>
      <c r="G11" s="109" t="s">
        <v>888</v>
      </c>
    </row>
    <row r="12" spans="2:7" ht="25.5" customHeight="1" x14ac:dyDescent="0.3">
      <c r="B12" s="99">
        <v>7</v>
      </c>
      <c r="C12" s="103" t="s">
        <v>889</v>
      </c>
      <c r="D12" s="45">
        <f>'Facility Master'!J25</f>
        <v>320.7</v>
      </c>
      <c r="E12" s="45">
        <f>TL_21_PRINC_REPAID_TO_DATE + TL_21_PRINC_OUTSTD</f>
        <v>320.7</v>
      </c>
      <c r="F12" s="40" t="str">
        <f t="shared" si="0"/>
        <v>PASS</v>
      </c>
      <c r="G12" s="105" t="s">
        <v>888</v>
      </c>
    </row>
    <row r="13" spans="2:7" ht="25.5" customHeight="1" x14ac:dyDescent="0.3">
      <c r="B13" s="101">
        <v>8</v>
      </c>
      <c r="C13" s="107" t="s">
        <v>890</v>
      </c>
      <c r="D13" s="60">
        <f>'Facility Master'!J26</f>
        <v>150</v>
      </c>
      <c r="E13" s="60">
        <f>TL_22_PRINC_REPAID_TO_DATE + TL_22_PRINC_OUTSTD</f>
        <v>150</v>
      </c>
      <c r="F13" s="55" t="str">
        <f t="shared" si="0"/>
        <v>PASS</v>
      </c>
      <c r="G13" s="109" t="s">
        <v>888</v>
      </c>
    </row>
    <row r="14" spans="2:7" ht="25.5" customHeight="1" x14ac:dyDescent="0.3">
      <c r="B14" s="99">
        <v>9</v>
      </c>
      <c r="C14" s="103" t="s">
        <v>891</v>
      </c>
      <c r="D14" s="94">
        <f>24</f>
        <v>24</v>
      </c>
      <c r="E14" s="94">
        <f>COUNTA('Covenant Tracker'!D6:D29)</f>
        <v>24</v>
      </c>
      <c r="F14" s="40" t="str">
        <f t="shared" si="0"/>
        <v>PASS</v>
      </c>
      <c r="G14" s="105" t="s">
        <v>892</v>
      </c>
    </row>
    <row r="15" spans="2:7" ht="25.5" customHeight="1" x14ac:dyDescent="0.3">
      <c r="B15" s="101">
        <v>10</v>
      </c>
      <c r="C15" s="107" t="s">
        <v>893</v>
      </c>
      <c r="D15" s="60" t="str">
        <f>"Yes"</f>
        <v>Yes</v>
      </c>
      <c r="E15" s="60" t="str">
        <f>IF(ISNUMBER(AsOfDate),"Yes","No")</f>
        <v>Yes</v>
      </c>
      <c r="F15" s="55" t="str">
        <f t="shared" si="0"/>
        <v>PASS</v>
      </c>
      <c r="G15" s="109" t="s">
        <v>894</v>
      </c>
    </row>
    <row r="16" spans="2:7" ht="25.5" customHeight="1" x14ac:dyDescent="0.3">
      <c r="B16" s="99">
        <v>11</v>
      </c>
      <c r="C16" s="103" t="s">
        <v>895</v>
      </c>
      <c r="D16" s="45" t="str">
        <f>"Yes"</f>
        <v>Yes</v>
      </c>
      <c r="E16" s="45" t="str">
        <f>IF(AND(ISNUMBER(FX_USD_INR),FX_USD_INR&gt;0),"Yes","No")</f>
        <v>Yes</v>
      </c>
      <c r="F16" s="40" t="str">
        <f t="shared" si="0"/>
        <v>PASS</v>
      </c>
      <c r="G16" s="105" t="s">
        <v>896</v>
      </c>
    </row>
    <row r="17" spans="1:7" ht="25.5" customHeight="1" x14ac:dyDescent="0.3">
      <c r="B17" s="101">
        <v>12</v>
      </c>
      <c r="C17" s="107" t="s">
        <v>897</v>
      </c>
      <c r="D17" s="97">
        <f>5</f>
        <v>5</v>
      </c>
      <c r="E17" s="97">
        <f>SUMPRODUCT(1/COUNTIF('Facility Master'!$C$5:$C$38,'Facility Master'!$C$5:$C$38))</f>
        <v>5.0000000000000009</v>
      </c>
      <c r="F17" s="55" t="str">
        <f t="shared" si="0"/>
        <v>PASS</v>
      </c>
      <c r="G17" s="109" t="s">
        <v>898</v>
      </c>
    </row>
    <row r="18" spans="1:7" ht="25.5" customHeight="1" x14ac:dyDescent="0.3">
      <c r="B18" s="99">
        <v>13</v>
      </c>
      <c r="C18" s="103" t="s">
        <v>899</v>
      </c>
      <c r="D18" s="94">
        <f>3</f>
        <v>3</v>
      </c>
      <c r="E18" s="94">
        <f>COUNTIF('Facility Master'!$E$5:$E$38,"FB-Term")</f>
        <v>3</v>
      </c>
      <c r="F18" s="40" t="str">
        <f t="shared" si="0"/>
        <v>PASS</v>
      </c>
      <c r="G18" s="105" t="s">
        <v>900</v>
      </c>
    </row>
    <row r="19" spans="1:7" ht="25.5" customHeight="1" x14ac:dyDescent="0.3">
      <c r="B19" s="101">
        <v>14</v>
      </c>
      <c r="C19" s="107" t="s">
        <v>901</v>
      </c>
      <c r="D19" s="60">
        <f>670.7</f>
        <v>670.7</v>
      </c>
      <c r="E19" s="60">
        <f>SUMIFS('Facility Master'!$J$5:$J$38,'Facility Master'!$E$5:$E$38,"FB-Term")</f>
        <v>670.7</v>
      </c>
      <c r="F19" s="55" t="str">
        <f t="shared" si="0"/>
        <v>PASS</v>
      </c>
      <c r="G19" s="109" t="s">
        <v>902</v>
      </c>
    </row>
    <row r="20" spans="1:7" ht="25.5" customHeight="1" x14ac:dyDescent="0.3">
      <c r="B20" s="99">
        <v>15</v>
      </c>
      <c r="C20" s="103" t="s">
        <v>903</v>
      </c>
      <c r="D20" s="45" t="str">
        <f>"OK"</f>
        <v>OK</v>
      </c>
      <c r="E20" s="45" t="str">
        <f>IF(MAX(CONS_DATES)&gt;=MAX('Facility Master'!Y13,'Facility Master'!Y25,'Facility Master'!Y26),"OK","Extend Schedule")</f>
        <v>OK</v>
      </c>
      <c r="F20" s="40" t="str">
        <f t="shared" si="0"/>
        <v>PASS</v>
      </c>
      <c r="G20" s="105" t="s">
        <v>904</v>
      </c>
    </row>
    <row r="23" spans="1:7" ht="21.75" customHeight="1" x14ac:dyDescent="0.3">
      <c r="B23" s="312" t="s">
        <v>905</v>
      </c>
      <c r="C23" s="312"/>
      <c r="D23" s="312"/>
      <c r="E23" s="312"/>
      <c r="F23" s="312"/>
      <c r="G23" s="312"/>
    </row>
    <row r="24" spans="1:7" ht="24" customHeight="1" x14ac:dyDescent="0.3">
      <c r="B24" s="316" t="s">
        <v>906</v>
      </c>
      <c r="C24" s="316"/>
      <c r="D24" s="326" t="str">
        <f>COUNTIF(F6:F20,"PASS")&amp;" of "&amp;COUNTA(F6:F20)</f>
        <v>15 of 15</v>
      </c>
      <c r="E24" s="326"/>
      <c r="F24" s="326"/>
      <c r="G24" s="326"/>
    </row>
    <row r="25" spans="1:7" ht="30" customHeight="1" x14ac:dyDescent="0.3">
      <c r="B25" s="316" t="s">
        <v>907</v>
      </c>
      <c r="C25" s="316"/>
      <c r="D25" s="325" t="str">
        <f>IF(COUNTIF(F6:F20,"FAIL")=0,"ALL CHECKS PASSED ✓","FAILURES FOUND - INVESTIGATE")</f>
        <v>ALL CHECKS PASSED ✓</v>
      </c>
      <c r="E25" s="325"/>
      <c r="F25" s="325"/>
      <c r="G25" s="325"/>
    </row>
    <row r="28" spans="1:7" x14ac:dyDescent="0.3">
      <c r="B28" s="4" t="s">
        <v>908</v>
      </c>
    </row>
    <row r="29" spans="1:7" x14ac:dyDescent="0.3">
      <c r="A29" s="6"/>
      <c r="B29" s="6">
        <v>16</v>
      </c>
      <c r="C29" s="6" t="s">
        <v>909</v>
      </c>
      <c r="D29" s="6" t="str">
        <f>IFERROR(IF('Interest Schedule'!G40&gt;=0,"Yes","No"),"Error")</f>
        <v>Yes</v>
      </c>
      <c r="E29" s="8" t="s">
        <v>2</v>
      </c>
      <c r="F29" s="6" t="s">
        <v>2</v>
      </c>
      <c r="G29" s="6"/>
    </row>
    <row r="30" spans="1:7" x14ac:dyDescent="0.3">
      <c r="A30" s="7"/>
      <c r="B30" s="7">
        <v>17</v>
      </c>
      <c r="C30" s="7" t="s">
        <v>910</v>
      </c>
      <c r="D30" s="7" t="str">
        <f>IF(SUMPRODUCT(('Facility Master'!R5:R38="TBD")*('Facility Master'!Q5:Q38&lt;&gt;0))=0,"Yes","No")</f>
        <v>No</v>
      </c>
      <c r="E30" s="8" t="s">
        <v>2</v>
      </c>
      <c r="F30" s="7" t="s">
        <v>2</v>
      </c>
      <c r="G30" s="7"/>
    </row>
    <row r="31" spans="1:7" ht="26.4" x14ac:dyDescent="0.3">
      <c r="A31" s="6"/>
      <c r="B31" s="6">
        <v>18</v>
      </c>
      <c r="C31" s="6" t="s">
        <v>911</v>
      </c>
      <c r="D31" s="6" t="str">
        <f>IF(ROUND(SUM(CONS_PRINCIPAL)-200-320.7-150,2)=0,"Yes","No")</f>
        <v>Yes</v>
      </c>
      <c r="E31" s="8" t="s">
        <v>2</v>
      </c>
      <c r="F31" s="6" t="s">
        <v>912</v>
      </c>
      <c r="G31" s="6"/>
    </row>
    <row r="32" spans="1:7" ht="39.6" x14ac:dyDescent="0.3">
      <c r="A32" s="7"/>
      <c r="B32" s="7">
        <v>19</v>
      </c>
      <c r="C32" s="7" t="s">
        <v>913</v>
      </c>
      <c r="D32" s="7" t="str">
        <f>IF(COUNTIF('Covenant Tracker'!G6:G29,"Pending Input")=0,"Yes","No")</f>
        <v>Yes</v>
      </c>
      <c r="E32" s="8" t="s">
        <v>2</v>
      </c>
      <c r="F32" s="7" t="s">
        <v>914</v>
      </c>
      <c r="G32" s="7"/>
    </row>
    <row r="33" spans="1:7" ht="26.4" x14ac:dyDescent="0.3">
      <c r="A33" s="6"/>
      <c r="B33" s="6">
        <v>20</v>
      </c>
      <c r="C33" s="6" t="s">
        <v>915</v>
      </c>
      <c r="D33" s="6" t="str">
        <f>IF(FX_USD_INR&gt;0,"Yes","No")</f>
        <v>Yes</v>
      </c>
      <c r="E33" s="8" t="s">
        <v>2</v>
      </c>
      <c r="F33" s="6" t="s">
        <v>916</v>
      </c>
      <c r="G33" s="6"/>
    </row>
    <row r="34" spans="1:7" ht="52.8" x14ac:dyDescent="0.3">
      <c r="A34" s="7"/>
      <c r="B34" s="7">
        <v>21</v>
      </c>
      <c r="C34" s="7" t="s">
        <v>917</v>
      </c>
      <c r="D34" s="7" t="str">
        <f>IF(Dashboard!B10=SUM('Facility Master'!J5:J38),"Yes","No")</f>
        <v>Yes</v>
      </c>
      <c r="E34" s="8" t="s">
        <v>2</v>
      </c>
      <c r="F34" s="7" t="s">
        <v>918</v>
      </c>
      <c r="G34" s="7"/>
    </row>
    <row r="35" spans="1:7" ht="52.8" x14ac:dyDescent="0.3">
      <c r="A35" s="6"/>
      <c r="B35" s="6">
        <v>22</v>
      </c>
      <c r="C35" s="6" t="s">
        <v>919</v>
      </c>
      <c r="D35" s="6" t="str">
        <f>IF(ROUND('Interest Schedule'!J40-SUMPRODUCT('Interest Schedule'!G6:G39*'Interest Schedule'!H6:H39),2)=0,"Yes","No")</f>
        <v>Yes</v>
      </c>
      <c r="E35" s="8" t="s">
        <v>2</v>
      </c>
      <c r="F35" s="6" t="s">
        <v>920</v>
      </c>
      <c r="G35" s="6"/>
    </row>
    <row r="36" spans="1:7" ht="39.6" x14ac:dyDescent="0.3">
      <c r="A36" s="7"/>
      <c r="B36" s="7">
        <v>23</v>
      </c>
      <c r="C36" s="7" t="s">
        <v>921</v>
      </c>
      <c r="D36" s="7" t="str">
        <f>IF(MIN('Facility Master'!N5:N38)&gt;=0,"Yes","No")</f>
        <v>Yes</v>
      </c>
      <c r="E36" s="8" t="s">
        <v>2</v>
      </c>
      <c r="F36" s="7" t="s">
        <v>922</v>
      </c>
      <c r="G36" s="7"/>
    </row>
    <row r="37" spans="1:7" ht="52.8" x14ac:dyDescent="0.3">
      <c r="A37" s="6"/>
      <c r="B37" s="6">
        <v>24</v>
      </c>
      <c r="C37" s="6" t="s">
        <v>923</v>
      </c>
      <c r="D37" s="6" t="str">
        <f>IF(ROUND('Scenario Analysis'!C16-'Interest Schedule'!J42,2)=0,"Yes","No")</f>
        <v>No</v>
      </c>
      <c r="E37" s="8" t="s">
        <v>2</v>
      </c>
      <c r="F37" s="6" t="s">
        <v>924</v>
      </c>
      <c r="G37" s="6"/>
    </row>
    <row r="38" spans="1:7" ht="39.6" x14ac:dyDescent="0.3">
      <c r="A38" s="7"/>
      <c r="B38" s="7">
        <v>25</v>
      </c>
      <c r="C38" s="7" t="s">
        <v>925</v>
      </c>
      <c r="D38" s="7" t="str">
        <f>IF(COUNTA('Lender Summary'!C6:C10)=5,"Yes","No")</f>
        <v>Yes</v>
      </c>
      <c r="E38" s="8" t="s">
        <v>2</v>
      </c>
      <c r="F38" s="7" t="s">
        <v>926</v>
      </c>
      <c r="G38" s="7"/>
    </row>
    <row r="40" spans="1:7" x14ac:dyDescent="0.3">
      <c r="C40" t="s">
        <v>927</v>
      </c>
      <c r="D40" t="s">
        <v>928</v>
      </c>
    </row>
    <row r="41" spans="1:7" x14ac:dyDescent="0.3">
      <c r="C41" t="s">
        <v>929</v>
      </c>
      <c r="D41" s="125" t="s">
        <v>930</v>
      </c>
    </row>
  </sheetData>
  <mergeCells count="7">
    <mergeCell ref="B25:C25"/>
    <mergeCell ref="D25:G25"/>
    <mergeCell ref="B2:G2"/>
    <mergeCell ref="B3:G3"/>
    <mergeCell ref="B23:G23"/>
    <mergeCell ref="B24:C24"/>
    <mergeCell ref="D24:G24"/>
  </mergeCells>
  <conditionalFormatting sqref="D25">
    <cfRule type="expression" dxfId="63" priority="4">
      <formula>ISNUMBER(SEARCH("PASSED",D25))</formula>
    </cfRule>
    <cfRule type="expression" dxfId="62" priority="5">
      <formula>ISNUMBER(SEARCH("FAILURES",D25))</formula>
    </cfRule>
  </conditionalFormatting>
  <conditionalFormatting sqref="F6:F20">
    <cfRule type="expression" dxfId="61" priority="2">
      <formula>F6="PASS"</formula>
    </cfRule>
    <cfRule type="expression" dxfId="60" priority="3">
      <formula>F6="FAIL"</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AA101"/>
  <sheetViews>
    <sheetView showGridLines="0" zoomScale="93" zoomScaleNormal="93" workbookViewId="0">
      <pane xSplit="1" ySplit="6" topLeftCell="B7" activePane="bottomRight" state="frozen"/>
      <selection pane="topRight" activeCell="B1" sqref="B1"/>
      <selection pane="bottomLeft" activeCell="A7" sqref="A7"/>
      <selection pane="bottomRight" activeCell="F72" sqref="F72:N72"/>
    </sheetView>
  </sheetViews>
  <sheetFormatPr defaultColWidth="8.6640625" defaultRowHeight="14.4" x14ac:dyDescent="0.3"/>
  <cols>
    <col min="1" max="1" width="2" customWidth="1"/>
    <col min="2" max="2" width="37" customWidth="1"/>
    <col min="3" max="3" width="18.5546875" customWidth="1"/>
    <col min="4" max="4" width="15" customWidth="1"/>
    <col min="5" max="5" width="33.33203125" customWidth="1"/>
    <col min="6" max="14" width="15" customWidth="1"/>
  </cols>
  <sheetData>
    <row r="1" spans="1:27" ht="14.25" customHeight="1" x14ac:dyDescent="0.3">
      <c r="A1" s="157"/>
      <c r="B1" s="157"/>
      <c r="C1" s="157"/>
      <c r="D1" s="157"/>
      <c r="E1" s="157"/>
      <c r="F1" s="157"/>
      <c r="G1" s="157"/>
      <c r="H1" s="157"/>
      <c r="I1" s="157"/>
      <c r="J1" s="157"/>
      <c r="K1" s="157"/>
      <c r="L1" s="157"/>
      <c r="M1" s="157"/>
      <c r="N1" s="157"/>
      <c r="AA1" s="124"/>
    </row>
    <row r="2" spans="1:27" ht="36" customHeight="1" x14ac:dyDescent="0.3">
      <c r="A2" s="157"/>
      <c r="B2" s="327" t="s">
        <v>780</v>
      </c>
      <c r="C2" s="327"/>
      <c r="D2" s="327"/>
      <c r="E2" s="327"/>
      <c r="F2" s="327"/>
      <c r="G2" s="327"/>
      <c r="H2" s="327"/>
      <c r="I2" s="327"/>
      <c r="J2" s="327"/>
      <c r="K2" s="327"/>
      <c r="L2" s="327"/>
      <c r="M2" s="327"/>
      <c r="N2" s="327"/>
    </row>
    <row r="3" spans="1:27" ht="27.75" customHeight="1" x14ac:dyDescent="0.3">
      <c r="A3" s="157"/>
      <c r="B3" s="362" t="s">
        <v>781</v>
      </c>
      <c r="C3" s="362"/>
      <c r="D3" s="362"/>
      <c r="E3" s="362"/>
      <c r="F3" s="362"/>
      <c r="G3" s="362"/>
      <c r="H3" s="362"/>
      <c r="I3" s="362"/>
      <c r="J3" s="362"/>
      <c r="K3" s="362"/>
      <c r="L3" s="362"/>
      <c r="M3" s="362"/>
      <c r="N3" s="362"/>
    </row>
    <row r="4" spans="1:27" ht="14.25" customHeight="1" x14ac:dyDescent="0.3">
      <c r="A4" s="157"/>
      <c r="B4" s="157"/>
      <c r="C4" s="157"/>
      <c r="D4" s="157"/>
      <c r="E4" s="157"/>
      <c r="F4" s="157"/>
      <c r="G4" s="157"/>
      <c r="H4" s="157"/>
      <c r="I4" s="157"/>
      <c r="J4" s="157"/>
      <c r="K4" s="157"/>
      <c r="L4" s="157"/>
      <c r="M4" s="157"/>
      <c r="N4" s="157"/>
    </row>
    <row r="5" spans="1:27" ht="30" customHeight="1" x14ac:dyDescent="0.3">
      <c r="A5" s="157"/>
      <c r="B5" s="145" t="s">
        <v>782</v>
      </c>
      <c r="C5" s="146" t="s">
        <v>783</v>
      </c>
      <c r="D5" s="147" t="str">
        <f>FinancialBasis</f>
        <v>Projected</v>
      </c>
      <c r="E5" s="146" t="s">
        <v>784</v>
      </c>
      <c r="F5" s="147" t="str">
        <f>IF(UseFullUtilisation,"YES","NO")</f>
        <v>YES</v>
      </c>
      <c r="G5" s="146" t="s">
        <v>785</v>
      </c>
      <c r="H5" s="147" t="s">
        <v>786</v>
      </c>
      <c r="I5" s="146"/>
      <c r="J5" s="148"/>
      <c r="K5" s="148"/>
      <c r="L5" s="148"/>
      <c r="M5" s="148"/>
      <c r="N5" s="148"/>
    </row>
    <row r="6" spans="1:27" ht="14.25" customHeight="1" x14ac:dyDescent="0.3">
      <c r="A6" s="157"/>
      <c r="B6" s="157"/>
      <c r="C6" s="157"/>
      <c r="D6" s="157"/>
      <c r="E6" s="157"/>
      <c r="F6" s="157"/>
      <c r="G6" s="157"/>
      <c r="H6" s="157"/>
      <c r="I6" s="157"/>
      <c r="J6" s="157"/>
      <c r="K6" s="157"/>
      <c r="L6" s="157"/>
      <c r="M6" s="157"/>
      <c r="N6" s="157"/>
    </row>
    <row r="7" spans="1:27" ht="7.5" customHeight="1" x14ac:dyDescent="0.3">
      <c r="A7" s="157"/>
      <c r="B7" s="157"/>
      <c r="C7" s="157"/>
      <c r="D7" s="157"/>
      <c r="E7" s="157"/>
      <c r="F7" s="157"/>
      <c r="G7" s="157"/>
      <c r="H7" s="157"/>
      <c r="I7" s="157"/>
      <c r="J7" s="157"/>
      <c r="K7" s="157"/>
      <c r="L7" s="157"/>
      <c r="M7" s="157"/>
      <c r="N7" s="157"/>
    </row>
    <row r="8" spans="1:27" ht="27.75" customHeight="1" x14ac:dyDescent="0.3">
      <c r="A8" s="157"/>
      <c r="B8" s="224" t="s">
        <v>787</v>
      </c>
      <c r="C8" s="225"/>
      <c r="D8" s="225"/>
      <c r="E8" s="225"/>
      <c r="F8" s="225"/>
      <c r="G8" s="225"/>
      <c r="H8" s="225"/>
      <c r="I8" s="225"/>
      <c r="J8" s="225"/>
      <c r="K8" s="225"/>
      <c r="L8" s="225"/>
      <c r="M8" s="225"/>
      <c r="N8" s="225"/>
    </row>
    <row r="9" spans="1:27" ht="19.5" customHeight="1" x14ac:dyDescent="0.3">
      <c r="A9" s="157"/>
      <c r="B9" s="226" t="s">
        <v>788</v>
      </c>
      <c r="C9" s="227"/>
      <c r="D9" s="226" t="s">
        <v>789</v>
      </c>
      <c r="E9" s="227"/>
      <c r="F9" s="226" t="s">
        <v>790</v>
      </c>
      <c r="G9" s="227"/>
      <c r="H9" s="226" t="s">
        <v>791</v>
      </c>
      <c r="I9" s="227"/>
      <c r="J9" s="226" t="s">
        <v>792</v>
      </c>
      <c r="K9" s="227"/>
      <c r="L9" s="226" t="s">
        <v>793</v>
      </c>
      <c r="M9" s="227"/>
      <c r="N9" s="227"/>
      <c r="AA9" s="124"/>
    </row>
    <row r="10" spans="1:27" ht="31.5" customHeight="1" x14ac:dyDescent="0.3">
      <c r="A10" s="157"/>
      <c r="B10" s="228">
        <f>IFERROR(SUM('Facility Master'!$J$5:$J$38),0)</f>
        <v>3410.7</v>
      </c>
      <c r="C10" s="229"/>
      <c r="D10" s="228">
        <f>IFERROR(SUMIFS('Facility Master'!$J$5:$J$38,'Facility Master'!$E$5:$E$38,"FB")+SUMIFS('Facility Master'!$J$5:$J$38,'Facility Master'!$E$5:$E$38,"FB-Term")+SUMIFS('Facility Master'!$J$5:$J$38,'Facility Master'!$E$5:$E$38,"FB-FDbacked")+SUMIFS('Facility Master'!$J$5:$J$38,'Facility Master'!$E$5:$E$38,"FB-FCY"),0)</f>
        <v>1817.7</v>
      </c>
      <c r="E10" s="229"/>
      <c r="F10" s="228">
        <f>IFERROR(SUMIFS('Facility Master'!$J$5:$J$38,'Facility Master'!$E$5:$E$38,"NFB")+SUMIFS('Facility Master'!$J$5:$J$38,'Facility Master'!$E$5:$E$38,"NFB-FDbacked"),0)</f>
        <v>1570</v>
      </c>
      <c r="G10" s="229"/>
      <c r="H10" s="228">
        <f>IFERROR(SUMIFS('Facility Master'!$J$5:$J$38,'Facility Master'!$E$5:$E$38,"FB-Term"),0)</f>
        <v>670.7</v>
      </c>
      <c r="I10" s="229"/>
      <c r="J10" s="228">
        <f>IFERROR(SUM('Facility Master'!$L$5:$L$38),0)</f>
        <v>3410.7</v>
      </c>
      <c r="K10" s="229"/>
      <c r="L10" s="228">
        <f>IFERROR(SUM('Facility Master'!$N$5:$N$38),0)</f>
        <v>0</v>
      </c>
      <c r="M10" s="229"/>
      <c r="N10" s="229"/>
    </row>
    <row r="11" spans="1:27" ht="19.5" customHeight="1" x14ac:dyDescent="0.3">
      <c r="A11" s="157"/>
      <c r="B11" s="230" t="s">
        <v>794</v>
      </c>
      <c r="C11" s="227"/>
      <c r="D11" s="230" t="s">
        <v>795</v>
      </c>
      <c r="E11" s="227"/>
      <c r="F11" s="230" t="s">
        <v>796</v>
      </c>
      <c r="G11" s="227"/>
      <c r="H11" s="230" t="s">
        <v>797</v>
      </c>
      <c r="I11" s="227"/>
      <c r="J11" s="230" t="s">
        <v>798</v>
      </c>
      <c r="K11" s="227"/>
      <c r="L11" s="230" t="s">
        <v>799</v>
      </c>
      <c r="M11" s="227"/>
      <c r="N11" s="227"/>
    </row>
    <row r="12" spans="1:27" ht="31.5" customHeight="1" x14ac:dyDescent="0.3">
      <c r="A12" s="157"/>
      <c r="B12" s="231">
        <f>IFERROR(SUMPRODUCT((LEFT('Facility Master'!$E$5:$E$38,2)="FB")*'Facility Master'!$L$5:$L$38*'Facility Master'!$Q$5:$Q$38)/SUMPRODUCT((LEFT('Facility Master'!$E$5:$E$38,2)="FB")*'Facility Master'!$L$5:$L$38),0)</f>
        <v>4.4293007647026456E-2</v>
      </c>
      <c r="C12" s="232"/>
      <c r="D12" s="231">
        <f>IFERROR(SUM('Facility Master'!$L$5:$L$38)/SUM('Facility Master'!$J$5:$J$38),0)</f>
        <v>1</v>
      </c>
      <c r="E12" s="233"/>
      <c r="F12" s="234">
        <f>IFERROR('Interest Schedule'!J40,0)</f>
        <v>87.64139999999999</v>
      </c>
      <c r="G12" s="229"/>
      <c r="H12" s="235">
        <f>IFERROR(COUNTA('Facility Master'!$D$5:$D$38),0)</f>
        <v>34</v>
      </c>
      <c r="I12" s="236"/>
      <c r="J12" s="237">
        <f>IFERROR(MIN('Facility Master'!Y13,'Facility Master'!Y25,'Facility Master'!Y26),0)</f>
        <v>47142</v>
      </c>
      <c r="K12" s="238"/>
      <c r="L12" s="237">
        <f>IFERROR(MAX('Facility Master'!Y13,'Facility Master'!Y25,'Facility Master'!Y26),0)</f>
        <v>49948</v>
      </c>
      <c r="M12" s="238"/>
      <c r="N12" s="238"/>
    </row>
    <row r="13" spans="1:27" x14ac:dyDescent="0.3">
      <c r="A13" s="157"/>
      <c r="B13" s="157"/>
      <c r="C13" s="157"/>
      <c r="D13" s="157"/>
      <c r="E13" s="157"/>
      <c r="F13" s="157"/>
      <c r="G13" s="157"/>
      <c r="H13" s="157"/>
      <c r="I13" s="157"/>
      <c r="J13" s="157"/>
      <c r="K13" s="157"/>
      <c r="L13" s="157"/>
      <c r="M13" s="157"/>
      <c r="N13" s="157"/>
    </row>
    <row r="14" spans="1:27" ht="27.75" customHeight="1" x14ac:dyDescent="0.3">
      <c r="A14" s="157"/>
      <c r="B14" s="224" t="s">
        <v>800</v>
      </c>
      <c r="C14" s="225"/>
      <c r="D14" s="225"/>
      <c r="E14" s="225"/>
      <c r="F14" s="225"/>
      <c r="G14" s="225"/>
      <c r="H14" s="225"/>
      <c r="I14" s="225"/>
      <c r="J14" s="225"/>
      <c r="K14" s="225"/>
      <c r="L14" s="225"/>
      <c r="M14" s="225"/>
      <c r="N14" s="225"/>
    </row>
    <row r="15" spans="1:27" x14ac:dyDescent="0.3">
      <c r="A15" s="157"/>
      <c r="B15" s="157"/>
      <c r="C15" s="157"/>
      <c r="D15" s="157"/>
      <c r="E15" s="157"/>
      <c r="F15" s="157"/>
      <c r="G15" s="157"/>
      <c r="H15" s="157"/>
      <c r="I15" s="157"/>
      <c r="J15" s="157"/>
      <c r="K15" s="157"/>
      <c r="L15" s="157"/>
      <c r="M15" s="157"/>
      <c r="N15" s="157"/>
    </row>
    <row r="16" spans="1:27" ht="24" customHeight="1" x14ac:dyDescent="0.3">
      <c r="A16" s="157"/>
      <c r="B16" s="239" t="str">
        <f>'Covenant Tracker'!C6&amp;" | "&amp;'Covenant Tracker'!D6</f>
        <v>RBL Bank | DSCR</v>
      </c>
      <c r="C16" s="240"/>
      <c r="D16" s="239" t="str">
        <f>'Covenant Tracker'!C7&amp;" | "&amp;'Covenant Tracker'!D7</f>
        <v>RBL Bank | Term Debt / EBITDA</v>
      </c>
      <c r="E16" s="240"/>
      <c r="F16" s="239" t="str">
        <f>'Covenant Tracker'!C8&amp;" | "&amp;'Covenant Tracker'!D8</f>
        <v>RBL Bank | TOL / TNW</v>
      </c>
      <c r="G16" s="240"/>
      <c r="H16" s="239" t="str">
        <f>'Covenant Tracker'!C9&amp;" | "&amp;'Covenant Tracker'!D9</f>
        <v>RBL Bank | External Rating</v>
      </c>
      <c r="I16" s="240"/>
      <c r="J16" s="239" t="str">
        <f>'Covenant Tracker'!C10&amp;" | "&amp;'Covenant Tracker'!D10</f>
        <v>YES Bank | DSCR</v>
      </c>
      <c r="K16" s="240"/>
      <c r="L16" s="239" t="str">
        <f>'Covenant Tracker'!C11&amp;" | "&amp;'Covenant Tracker'!D11</f>
        <v>YES Bank | Total Debt / EBITDA (till FY27)</v>
      </c>
      <c r="M16" s="240"/>
      <c r="N16" s="157"/>
    </row>
    <row r="17" spans="1:14" ht="24" customHeight="1" x14ac:dyDescent="0.3">
      <c r="A17" s="157"/>
      <c r="B17" s="241" t="str">
        <f>IFERROR(TEXT('Covenant Tracker'!G6,"0.00")&amp;" "&amp;'Covenant Tracker'!F6&amp;" "&amp;TEXT('Covenant Tracker'!E6,"0.00"),'Covenant Tracker'!G6)</f>
        <v>3.49 &gt; &gt;1.25x</v>
      </c>
      <c r="C17" s="242"/>
      <c r="D17" s="241" t="str">
        <f>IFERROR(TEXT('Covenant Tracker'!G7,"0.00")&amp;" "&amp;'Covenant Tracker'!F7&amp;" "&amp;TEXT('Covenant Tracker'!E7,"0.00"),'Covenant Tracker'!G7)</f>
        <v>1.12 &lt; &lt;2.5x</v>
      </c>
      <c r="E17" s="242"/>
      <c r="F17" s="241" t="str">
        <f>IFERROR(TEXT('Covenant Tracker'!G8,"0.00")&amp;" "&amp;'Covenant Tracker'!F8&amp;" "&amp;TEXT('Covenant Tracker'!E8,"0.00"),'Covenant Tracker'!G8)</f>
        <v>1.54 &lt; &lt;3.0x</v>
      </c>
      <c r="G17" s="242"/>
      <c r="H17" s="241" t="str">
        <f>IFERROR(TEXT('Covenant Tracker'!G9,"0.00")&amp;" "&amp;'Covenant Tracker'!F9&amp;" "&amp;TEXT('Covenant Tracker'!E9,"0.00"),'Covenant Tracker'!G9)</f>
        <v>CARE A+; Stable / A1 rating &gt;= A-</v>
      </c>
      <c r="I17" s="242"/>
      <c r="J17" s="241" t="str">
        <f>IFERROR(TEXT('Covenant Tracker'!G10,"0.00")&amp;" "&amp;'Covenant Tracker'!F10&amp;" "&amp;TEXT('Covenant Tracker'!E10,"0.00"),'Covenant Tracker'!G10)</f>
        <v>3.49 &gt; &gt;1.20x</v>
      </c>
      <c r="K17" s="242"/>
      <c r="L17" s="241" t="str">
        <f>IFERROR(TEXT('Covenant Tracker'!G11,"0.00")&amp;" "&amp;'Covenant Tracker'!F11&amp;" "&amp;TEXT('Covenant Tracker'!E11,"0.00"),'Covenant Tracker'!G11)</f>
        <v>1.60 &lt; &lt;4.5x</v>
      </c>
      <c r="M17" s="242"/>
      <c r="N17" s="157"/>
    </row>
    <row r="18" spans="1:14" ht="24" customHeight="1" x14ac:dyDescent="0.3">
      <c r="A18" s="157"/>
      <c r="B18" s="243" t="str">
        <f>'Covenant Tracker'!C12&amp;" | "&amp;'Covenant Tracker'!D12</f>
        <v>YES Bank | Total Debt / EBITDA (FY28+)</v>
      </c>
      <c r="C18" s="240"/>
      <c r="D18" s="243" t="str">
        <f>'Covenant Tracker'!C13&amp;" | "&amp;'Covenant Tracker'!D13</f>
        <v>YES Bank | Total Debt / ATNW</v>
      </c>
      <c r="E18" s="240"/>
      <c r="F18" s="243" t="str">
        <f>'Covenant Tracker'!C14&amp;" | "&amp;'Covenant Tracker'!D14</f>
        <v>YES Bank | FACR</v>
      </c>
      <c r="G18" s="240"/>
      <c r="H18" s="243" t="str">
        <f>'Covenant Tracker'!C15&amp;" | "&amp;'Covenant Tracker'!D15</f>
        <v>YES Bank | External Rating</v>
      </c>
      <c r="I18" s="240"/>
      <c r="J18" s="243" t="str">
        <f>'Covenant Tracker'!C16&amp;" | "&amp;'Covenant Tracker'!D16</f>
        <v>Bajaj Finance | Total Debt / EBITDA</v>
      </c>
      <c r="K18" s="240"/>
      <c r="L18" s="243" t="str">
        <f>'Covenant Tracker'!C17&amp;" | "&amp;'Covenant Tracker'!D17</f>
        <v>Bajaj Finance | Total Debt / ATNW</v>
      </c>
      <c r="M18" s="240"/>
      <c r="N18" s="157"/>
    </row>
    <row r="19" spans="1:14" ht="24" customHeight="1" x14ac:dyDescent="0.3">
      <c r="A19" s="157"/>
      <c r="B19" s="241" t="str">
        <f>IFERROR(TEXT('Covenant Tracker'!G12,"0.00")&amp;" "&amp;'Covenant Tracker'!F12&amp;" "&amp;TEXT('Covenant Tracker'!E12,"0.00"),'Covenant Tracker'!G12)</f>
        <v>1.60 &lt; &lt;3.5x</v>
      </c>
      <c r="C19" s="242"/>
      <c r="D19" s="241" t="str">
        <f>IFERROR(TEXT('Covenant Tracker'!G13,"0.00")&amp;" "&amp;'Covenant Tracker'!F13&amp;" "&amp;TEXT('Covenant Tracker'!E13,"0.00"),'Covenant Tracker'!G13)</f>
        <v>0.85 &lt; &lt;2.0x</v>
      </c>
      <c r="E19" s="242"/>
      <c r="F19" s="241" t="str">
        <f>IFERROR(TEXT('Covenant Tracker'!G14,"0.00")&amp;" "&amp;'Covenant Tracker'!F14&amp;" "&amp;TEXT('Covenant Tracker'!E14,"0.00"),'Covenant Tracker'!G14)</f>
        <v>2.17 &gt; &gt;1.33x</v>
      </c>
      <c r="G19" s="242"/>
      <c r="H19" s="241" t="str">
        <f>IFERROR(TEXT('Covenant Tracker'!G15,"0.00")&amp;" "&amp;'Covenant Tracker'!F15&amp;" "&amp;TEXT('Covenant Tracker'!E15,"0.00"),'Covenant Tracker'!G15)</f>
        <v>CARE A+; Stable / A1 rating &gt;= A-/A1</v>
      </c>
      <c r="I19" s="242"/>
      <c r="J19" s="241" t="str">
        <f>IFERROR(TEXT('Covenant Tracker'!G16,"0.00")&amp;" "&amp;'Covenant Tracker'!F16&amp;" "&amp;TEXT('Covenant Tracker'!E16,"0.00"),'Covenant Tracker'!G16)</f>
        <v>1.60 &lt;= &lt;=4.0x</v>
      </c>
      <c r="K19" s="242"/>
      <c r="L19" s="241" t="str">
        <f>IFERROR(TEXT('Covenant Tracker'!G17,"0.00")&amp;" "&amp;'Covenant Tracker'!F17&amp;" "&amp;TEXT('Covenant Tracker'!E17,"0.00"),'Covenant Tracker'!G17)</f>
        <v>0.85 &lt; &lt;2.0x</v>
      </c>
      <c r="M19" s="242"/>
      <c r="N19" s="157"/>
    </row>
    <row r="20" spans="1:14" ht="24" customHeight="1" x14ac:dyDescent="0.3">
      <c r="A20" s="157"/>
      <c r="B20" s="243" t="str">
        <f>'Covenant Tracker'!C18&amp;" | "&amp;'Covenant Tracker'!D18</f>
        <v>Bajaj Finance | ICR</v>
      </c>
      <c r="C20" s="240"/>
      <c r="D20" s="243" t="str">
        <f>'Covenant Tracker'!C19&amp;" | "&amp;'Covenant Tracker'!D19</f>
        <v>Bajaj Finance | DSCR</v>
      </c>
      <c r="E20" s="240"/>
      <c r="F20" s="243" t="str">
        <f>'Covenant Tracker'!C20&amp;" | "&amp;'Covenant Tracker'!D20</f>
        <v>Bajaj Finance | FACR</v>
      </c>
      <c r="G20" s="240"/>
      <c r="H20" s="243" t="str">
        <f>'Covenant Tracker'!C21&amp;" | "&amp;'Covenant Tracker'!D21</f>
        <v>ICICI Bank | DSCR</v>
      </c>
      <c r="I20" s="240"/>
      <c r="J20" s="243" t="str">
        <f>'Covenant Tracker'!C22&amp;" | "&amp;'Covenant Tracker'!D22</f>
        <v>ICICI Bank | Total Debt / EBITDA</v>
      </c>
      <c r="K20" s="240"/>
      <c r="L20" s="243" t="str">
        <f>'Covenant Tracker'!C23&amp;" | "&amp;'Covenant Tracker'!D23</f>
        <v>ICICI Bank | TOL / ATNW (till FY26)</v>
      </c>
      <c r="M20" s="240"/>
      <c r="N20" s="157"/>
    </row>
    <row r="21" spans="1:14" ht="24" customHeight="1" x14ac:dyDescent="0.3">
      <c r="A21" s="157"/>
      <c r="B21" s="241" t="str">
        <f>IFERROR(TEXT('Covenant Tracker'!G18,"0.00")&amp;" "&amp;'Covenant Tracker'!F18&amp;" "&amp;TEXT('Covenant Tracker'!E18,"0.00"),'Covenant Tracker'!G18)</f>
        <v>7.82 &gt;= &gt;=3.5x</v>
      </c>
      <c r="C21" s="242"/>
      <c r="D21" s="241" t="str">
        <f>IFERROR(TEXT('Covenant Tracker'!G19,"0.00")&amp;" "&amp;'Covenant Tracker'!F19&amp;" "&amp;TEXT('Covenant Tracker'!E19,"0.00"),'Covenant Tracker'!G19)</f>
        <v>3.49 &gt; &gt;1.20x</v>
      </c>
      <c r="E21" s="242"/>
      <c r="F21" s="241" t="str">
        <f>IFERROR(TEXT('Covenant Tracker'!G20,"0.00")&amp;" "&amp;'Covenant Tracker'!F20&amp;" "&amp;TEXT('Covenant Tracker'!E20,"0.00"),'Covenant Tracker'!G20)</f>
        <v>2.17 &gt; &gt;1.25x</v>
      </c>
      <c r="G21" s="242"/>
      <c r="H21" s="241" t="str">
        <f>IFERROR(TEXT('Covenant Tracker'!G21,"0.00")&amp;" "&amp;'Covenant Tracker'!F21&amp;" "&amp;TEXT('Covenant Tracker'!E21,"0.00"),'Covenant Tracker'!G21)</f>
        <v>3.49 &gt; &gt;1.25x</v>
      </c>
      <c r="I21" s="242"/>
      <c r="J21" s="241" t="str">
        <f>IFERROR(TEXT('Covenant Tracker'!G22,"0.00")&amp;" "&amp;'Covenant Tracker'!F22&amp;" "&amp;TEXT('Covenant Tracker'!E22,"0.00"),'Covenant Tracker'!G22)</f>
        <v>1.60 &lt; &lt;3.0x</v>
      </c>
      <c r="K21" s="242"/>
      <c r="L21" s="241" t="str">
        <f>IFERROR(TEXT('Covenant Tracker'!G23,"0.00")&amp;" "&amp;'Covenant Tracker'!F23&amp;" "&amp;TEXT('Covenant Tracker'!E23,"0.00"),'Covenant Tracker'!G23)</f>
        <v>1.59 &lt; &lt;2.5x</v>
      </c>
      <c r="M21" s="242"/>
      <c r="N21" s="157"/>
    </row>
    <row r="22" spans="1:14" ht="24" customHeight="1" x14ac:dyDescent="0.3">
      <c r="A22" s="157"/>
      <c r="B22" s="243" t="str">
        <f>'Covenant Tracker'!C24&amp;" | "&amp;'Covenant Tracker'!D24</f>
        <v>ICICI Bank | TOL / ATNW (till FY27)</v>
      </c>
      <c r="C22" s="244"/>
      <c r="D22" s="243" t="str">
        <f>'Covenant Tracker'!C25&amp;" | "&amp;'Covenant Tracker'!D25</f>
        <v>ICICI Bank | TOL / ATNW (FY28+)</v>
      </c>
      <c r="E22" s="244"/>
      <c r="F22" s="243" t="str">
        <f>'Covenant Tracker'!C26&amp;" | "&amp;'Covenant Tracker'!D26</f>
        <v>South Indian Bank | TOL / TNW</v>
      </c>
      <c r="G22" s="244"/>
      <c r="H22" s="243" t="str">
        <f>'Covenant Tracker'!C27&amp;" | "&amp;'Covenant Tracker'!D27</f>
        <v>South Indian Bank | Debt Equity Ratio</v>
      </c>
      <c r="I22" s="244"/>
      <c r="J22" s="245" t="str">
        <f>'Covenant Tracker'!C28&amp;" | "&amp;'Covenant Tracker'!D28</f>
        <v>South Indian Bank | Current Ratio</v>
      </c>
      <c r="K22" s="244"/>
      <c r="L22" s="243" t="str">
        <f>'Covenant Tracker'!C29&amp;" | "&amp;'Covenant Tracker'!D29</f>
        <v>South Indian Bank | ICR</v>
      </c>
      <c r="M22" s="244"/>
      <c r="N22" s="157"/>
    </row>
    <row r="23" spans="1:14" ht="24" customHeight="1" x14ac:dyDescent="0.3">
      <c r="A23" s="157"/>
      <c r="B23" s="246" t="str">
        <f>IFERROR(TEXT('Covenant Tracker'!G24,"0.00")&amp;" "&amp;'Covenant Tracker'!F24&amp;" "&amp;TEXT('Covenant Tracker'!E24,"0.00"),'Covenant Tracker'!G24)</f>
        <v>1.59 &lt; &lt;2.1x</v>
      </c>
      <c r="C23" s="242"/>
      <c r="D23" s="246" t="str">
        <f>IFERROR(TEXT('Covenant Tracker'!G25,"0.00")&amp;" "&amp;'Covenant Tracker'!F25&amp;" "&amp;TEXT('Covenant Tracker'!E25,"0.00"),'Covenant Tracker'!G25)</f>
        <v>1.59 &lt; &lt;2.0x</v>
      </c>
      <c r="E23" s="242"/>
      <c r="F23" s="246" t="str">
        <f>IFERROR(TEXT('Covenant Tracker'!G26,"0.00")&amp;" "&amp;'Covenant Tracker'!F26&amp;" "&amp;TEXT('Covenant Tracker'!E26,"0.00"),'Covenant Tracker'!G26)</f>
        <v>1.54 &lt;= &lt;=3.0x</v>
      </c>
      <c r="G23" s="242"/>
      <c r="H23" s="246" t="str">
        <f>IFERROR(TEXT('Covenant Tracker'!G27,"0.00")&amp;" "&amp;'Covenant Tracker'!F27&amp;" "&amp;TEXT('Covenant Tracker'!E27,"0.00"),'Covenant Tracker'!G27)</f>
        <v>0.83 &lt;= &lt;=2.0x</v>
      </c>
      <c r="I23" s="242"/>
      <c r="J23" s="247" t="str">
        <f>IFERROR(TEXT('Covenant Tracker'!G28,"0.00")&amp;" "&amp;'Covenant Tracker'!F28&amp;" "&amp;TEXT('Covenant Tracker'!E28,"0.00"),'Covenant Tracker'!G28)</f>
        <v>1.39 &gt; &gt;1.33x</v>
      </c>
      <c r="K23" s="242"/>
      <c r="L23" s="246" t="str">
        <f>IFERROR(TEXT('Covenant Tracker'!G29,"0.00")&amp;" "&amp;'Covenant Tracker'!F29&amp;" "&amp;TEXT('Covenant Tracker'!E29,"0.00"),'Covenant Tracker'!G29)</f>
        <v>7.82 &gt; &gt;3.0x</v>
      </c>
      <c r="M23" s="242"/>
      <c r="N23" s="157"/>
    </row>
    <row r="24" spans="1:14" ht="18" customHeight="1" x14ac:dyDescent="0.3">
      <c r="A24" s="157"/>
      <c r="B24" s="257" t="s">
        <v>1136</v>
      </c>
      <c r="C24" s="257"/>
      <c r="D24" s="257"/>
      <c r="E24" s="257"/>
      <c r="F24" s="257"/>
      <c r="G24" s="257"/>
      <c r="H24" s="257"/>
      <c r="I24" s="257"/>
      <c r="J24" s="257"/>
      <c r="K24" s="257"/>
      <c r="L24" s="157"/>
      <c r="M24" s="157"/>
      <c r="N24" s="157"/>
    </row>
    <row r="25" spans="1:14" ht="7.5" customHeight="1" x14ac:dyDescent="0.3">
      <c r="A25" s="157"/>
      <c r="B25" s="157"/>
      <c r="C25" s="157"/>
      <c r="D25" s="157"/>
      <c r="E25" s="157"/>
      <c r="F25" s="157"/>
      <c r="G25" s="157"/>
      <c r="H25" s="157"/>
      <c r="I25" s="157"/>
      <c r="J25" s="157"/>
      <c r="K25" s="157"/>
      <c r="L25" s="157"/>
      <c r="M25" s="157"/>
      <c r="N25" s="157"/>
    </row>
    <row r="26" spans="1:14" ht="19.5" customHeight="1" x14ac:dyDescent="0.3">
      <c r="A26" s="157"/>
      <c r="B26" s="248" t="s">
        <v>801</v>
      </c>
      <c r="C26" s="249"/>
      <c r="D26" s="249"/>
      <c r="E26" s="249"/>
      <c r="F26" s="249"/>
      <c r="G26" s="249"/>
      <c r="H26" s="248" t="s">
        <v>802</v>
      </c>
      <c r="I26" s="249"/>
      <c r="J26" s="249"/>
      <c r="K26" s="249"/>
      <c r="L26" s="249"/>
      <c r="M26" s="249"/>
      <c r="N26" s="249"/>
    </row>
    <row r="27" spans="1:14" ht="21.75" customHeight="1" x14ac:dyDescent="0.3">
      <c r="A27" s="157"/>
      <c r="B27" s="250" t="str">
        <f>"✓ Compliant: "&amp;COUNTIF('Covenant Tracker'!$I$6:$I$29,"*Compliant*")</f>
        <v>✓ Compliant: 23</v>
      </c>
      <c r="C27" s="251"/>
      <c r="D27" s="252" t="str">
        <f>"⚠ Near Breach: "&amp;COUNTIF('Covenant Tracker'!$I$6:$I$29,"*Near*")</f>
        <v>⚠ Near Breach: 1</v>
      </c>
      <c r="E27" s="253"/>
      <c r="F27" s="254" t="str">
        <f>"✗ Breached: "&amp;COUNTIF('Covenant Tracker'!$I$6:$I$29,"*Breached*")</f>
        <v>✗ Breached: 0</v>
      </c>
      <c r="G27" s="255"/>
      <c r="H27" s="165" t="s">
        <v>803</v>
      </c>
      <c r="I27" s="165" t="s">
        <v>217</v>
      </c>
      <c r="J27" s="256" t="s">
        <v>602</v>
      </c>
      <c r="K27" s="256"/>
      <c r="L27" s="165" t="s">
        <v>804</v>
      </c>
      <c r="M27" s="165" t="s">
        <v>603</v>
      </c>
      <c r="N27" s="165" t="s">
        <v>805</v>
      </c>
    </row>
    <row r="28" spans="1:14" ht="19.5" customHeight="1" x14ac:dyDescent="0.3">
      <c r="A28" s="157"/>
      <c r="B28" s="258" t="str">
        <f>"Portfolio Compliance: "&amp;TEXT(COUNTIF('Covenant Tracker'!$I$6:$I$29,"*Compliant*")/COUNTA('Covenant Tracker'!$I$6:$I$29),"0.0%")&amp;" ("&amp;COUNTIF('Covenant Tracker'!$I$6:$I$29,"*Compliant*")&amp;" of "&amp;COUNTA('Covenant Tracker'!$I$6:$I$29)&amp;")"</f>
        <v>Portfolio Compliance: 95.8% (23 of 24)</v>
      </c>
      <c r="C28" s="258"/>
      <c r="D28" s="258"/>
      <c r="E28" s="258"/>
      <c r="F28" s="258"/>
      <c r="G28" s="258"/>
      <c r="H28" s="149">
        <v>1</v>
      </c>
      <c r="I28" s="158" t="str" cm="1">
        <f t="array" ref="I28">IFERROR(_xlfn.LET(_xlpm.hd,'Covenant Tracker'!$H$6:$H$29,_xlpm.lndr,'Covenant Tracker'!$C$6:$C$29,_xlpm.numH,IF(ISNUMBER(_xlpm.hd),_xlpm.hd,9999),_xlpm.sorted,_xlfn.SORTBY(_xlpm.lndr,_xlpm.numH,1),INDEX(_xlpm.sorted,1)),"")</f>
        <v>South Indian Bank</v>
      </c>
      <c r="J28" s="259" t="str" cm="1">
        <f t="array" ref="J28">IFERROR(_xlfn.LET(_xlpm.hd,'Covenant Tracker'!$H$6:$H$29,_xlpm.cov,'Covenant Tracker'!$D$6:$D$29,_xlpm.numH,IF(ISNUMBER(_xlpm.hd),_xlpm.hd,9999),_xlpm.sorted,_xlfn.SORTBY(_xlpm.cov,_xlpm.numH,1),INDEX(_xlpm.sorted,1)),"")</f>
        <v>Current Ratio</v>
      </c>
      <c r="K28" s="259"/>
      <c r="L28" s="159" cm="1">
        <f t="array" ref="L28">IFERROR(_xlfn.LET(_xlpm.hd,'Covenant Tracker'!$H$6:$H$29,_xlpm.act,'Covenant Tracker'!$G$6:$G$29,_xlpm.numH,IF(ISNUMBER(_xlpm.hd),_xlpm.hd,9999),_xlpm.sorted,_xlfn.SORTBY(_xlpm.act,_xlpm.numH,1),INDEX(_xlpm.sorted,1)),"")</f>
        <v>1.3858918115237064</v>
      </c>
      <c r="M28" s="160" t="str" cm="1">
        <f t="array" ref="M28">IFERROR(_xlfn.LET(_xlpm.hd,'Covenant Tracker'!$H$6:$H$29,_xlpm.thr,'Covenant Tracker'!$E$6:$E$29,_xlpm.numH,IF(ISNUMBER(_xlpm.hd),_xlpm.hd,9999),_xlpm.sorted,_xlfn.SORTBY(_xlpm.thr,_xlpm.numH,1),INDEX(_xlpm.sorted,1)),"")</f>
        <v>&gt;1.33x</v>
      </c>
      <c r="N28" s="156" cm="1">
        <f t="array" ref="N28">IFERROR(_xlfn.LET(_xlpm.hd,'Covenant Tracker'!$H$6:$H$29,_xlpm.numH,IF(ISNUMBER(_xlpm.hd),_xlpm.hd,9999),_xlpm.sorted,_xlfn._xlws.SORT(_xlpm.numH,1,1),INDEX(_xlpm.sorted,1)),"")</f>
        <v>5.589181152370637E-2</v>
      </c>
    </row>
    <row r="29" spans="1:14" ht="19.5" customHeight="1" x14ac:dyDescent="0.3">
      <c r="A29" s="157"/>
      <c r="B29" s="260" t="str">
        <f>"Most Stressed: "&amp;INDEX('Covenant Tracker'!$D$6:$D$29,MATCH(MIN(IF(ISNUMBER('Covenant Tracker'!$H$6:$H$29),'Covenant Tracker'!$H$6:$H$29)),'Covenant Tracker'!$H$6:$H$29,0))&amp;" ("&amp;INDEX('Covenant Tracker'!$C$6:$C$29,MATCH(MIN(IF(ISNUMBER('Covenant Tracker'!$H$6:$H$29),'Covenant Tracker'!$H$6:$H$29)),'Covenant Tracker'!$H$6:$H$29,0))&amp;")"</f>
        <v>Most Stressed: Current Ratio (South Indian Bank)</v>
      </c>
      <c r="C29" s="260"/>
      <c r="D29" s="260"/>
      <c r="E29" s="260"/>
      <c r="F29" s="260"/>
      <c r="G29" s="260"/>
      <c r="H29" s="149">
        <v>2</v>
      </c>
      <c r="I29" s="158" t="str" cm="1">
        <f t="array" ref="I29">IFERROR(_xlfn.LET(_xlpm.hd,'Covenant Tracker'!$H$6:$H$29,_xlpm.lndr,'Covenant Tracker'!$C$6:$C$29,_xlpm.numH,IF(ISNUMBER(_xlpm.hd),_xlpm.hd,9999),_xlpm.sorted,_xlfn.SORTBY(_xlpm.lndr,_xlpm.numH,1),INDEX(_xlpm.sorted,2)),"")</f>
        <v>ICICI Bank</v>
      </c>
      <c r="J29" s="259" t="str" cm="1">
        <f t="array" ref="J29">IFERROR(_xlfn.LET(_xlpm.hd,'Covenant Tracker'!$H$6:$H$29,_xlpm.cov,'Covenant Tracker'!$D$6:$D$29,_xlpm.numH,IF(ISNUMBER(_xlpm.hd),_xlpm.hd,9999),_xlpm.sorted,_xlfn.SORTBY(_xlpm.cov,_xlpm.numH,1),INDEX(_xlpm.sorted,2)),"")</f>
        <v>TOL / ATNW (FY28+)</v>
      </c>
      <c r="K29" s="259"/>
      <c r="L29" s="159" cm="1">
        <f t="array" ref="L29">IFERROR(_xlfn.LET(_xlpm.hd,'Covenant Tracker'!$H$6:$H$29,_xlpm.act,'Covenant Tracker'!$G$6:$G$29,_xlpm.numH,IF(ISNUMBER(_xlpm.hd),_xlpm.hd,9999),_xlpm.sorted,_xlfn.SORTBY(_xlpm.act,_xlpm.numH,1),INDEX(_xlpm.sorted,2)),"")</f>
        <v>1.5865059104278818</v>
      </c>
      <c r="M29" s="160" t="str" cm="1">
        <f t="array" ref="M29">IFERROR(_xlfn.LET(_xlpm.hd,'Covenant Tracker'!$H$6:$H$29,_xlpm.thr,'Covenant Tracker'!$E$6:$E$29,_xlpm.numH,IF(ISNUMBER(_xlpm.hd),_xlpm.hd,9999),_xlpm.sorted,_xlfn.SORTBY(_xlpm.thr,_xlpm.numH,1),INDEX(_xlpm.sorted,2)),"")</f>
        <v>&lt;2.0x</v>
      </c>
      <c r="N29" s="156" cm="1">
        <f t="array" ref="N29">IFERROR(_xlfn.LET(_xlpm.hd,'Covenant Tracker'!$H$6:$H$29,_xlpm.numH,IF(ISNUMBER(_xlpm.hd),_xlpm.hd,9999),_xlpm.sorted,_xlfn._xlws.SORT(_xlpm.numH,1,1),INDEX(_xlpm.sorted,2)),"")</f>
        <v>0.4134940895721182</v>
      </c>
    </row>
    <row r="30" spans="1:14" ht="19.5" customHeight="1" x14ac:dyDescent="0.3">
      <c r="A30" s="157"/>
      <c r="B30" s="157"/>
      <c r="C30" s="157"/>
      <c r="D30" s="157"/>
      <c r="E30" s="157"/>
      <c r="F30" s="157"/>
      <c r="G30" s="157"/>
      <c r="H30" s="149">
        <v>3</v>
      </c>
      <c r="I30" s="158" t="str" cm="1">
        <f t="array" ref="I30">IFERROR(_xlfn.LET(_xlpm.hd,'Covenant Tracker'!$H$6:$H$29,_xlpm.lndr,'Covenant Tracker'!$C$6:$C$29,_xlpm.numH,IF(ISNUMBER(_xlpm.hd),_xlpm.hd,9999),_xlpm.sorted,_xlfn.SORTBY(_xlpm.lndr,_xlpm.numH,1),INDEX(_xlpm.sorted,3)),"")</f>
        <v>ICICI Bank</v>
      </c>
      <c r="J30" s="259" t="str" cm="1">
        <f t="array" ref="J30">IFERROR(_xlfn.LET(_xlpm.hd,'Covenant Tracker'!$H$6:$H$29,_xlpm.cov,'Covenant Tracker'!$D$6:$D$29,_xlpm.numH,IF(ISNUMBER(_xlpm.hd),_xlpm.hd,9999),_xlpm.sorted,_xlfn.SORTBY(_xlpm.cov,_xlpm.numH,1),INDEX(_xlpm.sorted,3)),"")</f>
        <v>TOL / ATNW (till FY27)</v>
      </c>
      <c r="K30" s="259"/>
      <c r="L30" s="159" cm="1">
        <f t="array" ref="L30">IFERROR(_xlfn.LET(_xlpm.hd,'Covenant Tracker'!$H$6:$H$29,_xlpm.act,'Covenant Tracker'!$G$6:$G$29,_xlpm.numH,IF(ISNUMBER(_xlpm.hd),_xlpm.hd,9999),_xlpm.sorted,_xlfn.SORTBY(_xlpm.act,_xlpm.numH,1),INDEX(_xlpm.sorted,3)),"")</f>
        <v>1.5865059104278818</v>
      </c>
      <c r="M30" s="160" t="str" cm="1">
        <f t="array" ref="M30">IFERROR(_xlfn.LET(_xlpm.hd,'Covenant Tracker'!$H$6:$H$29,_xlpm.thr,'Covenant Tracker'!$E$6:$E$29,_xlpm.numH,IF(ISNUMBER(_xlpm.hd),_xlpm.hd,9999),_xlpm.sorted,_xlfn.SORTBY(_xlpm.thr,_xlpm.numH,1),INDEX(_xlpm.sorted,3)),"")</f>
        <v>&lt;2.1x</v>
      </c>
      <c r="N30" s="156" cm="1">
        <f t="array" ref="N30">IFERROR(_xlfn.LET(_xlpm.hd,'Covenant Tracker'!$H$6:$H$29,_xlpm.numH,IF(ISNUMBER(_xlpm.hd),_xlpm.hd,9999),_xlpm.sorted,_xlfn._xlws.SORT(_xlpm.numH,1,1),INDEX(_xlpm.sorted,3)),"")</f>
        <v>0.51349408957211828</v>
      </c>
    </row>
    <row r="31" spans="1:14" ht="19.5" customHeight="1" x14ac:dyDescent="0.3">
      <c r="A31" s="157"/>
      <c r="B31" s="157"/>
      <c r="C31" s="157"/>
      <c r="D31" s="157"/>
      <c r="E31" s="157"/>
      <c r="F31" s="157"/>
      <c r="G31" s="157"/>
      <c r="H31" s="149">
        <v>4</v>
      </c>
      <c r="I31" s="158" t="str" cm="1">
        <f t="array" ref="I31">IFERROR(_xlfn.LET(_xlpm.hd,'Covenant Tracker'!$H$6:$H$29,_xlpm.lndr,'Covenant Tracker'!$C$6:$C$29,_xlpm.numH,IF(ISNUMBER(_xlpm.hd),_xlpm.hd,9999),_xlpm.sorted,_xlfn.SORTBY(_xlpm.lndr,_xlpm.numH,1),INDEX(_xlpm.sorted,4)),"")</f>
        <v>YES Bank</v>
      </c>
      <c r="J31" s="259" t="str" cm="1">
        <f t="array" ref="J31">IFERROR(_xlfn.LET(_xlpm.hd,'Covenant Tracker'!$H$6:$H$29,_xlpm.cov,'Covenant Tracker'!$D$6:$D$29,_xlpm.numH,IF(ISNUMBER(_xlpm.hd),_xlpm.hd,9999),_xlpm.sorted,_xlfn.SORTBY(_xlpm.cov,_xlpm.numH,1),INDEX(_xlpm.sorted,4)),"")</f>
        <v>FACR</v>
      </c>
      <c r="K31" s="259"/>
      <c r="L31" s="159" cm="1">
        <f t="array" ref="L31">IFERROR(_xlfn.LET(_xlpm.hd,'Covenant Tracker'!$H$6:$H$29,_xlpm.act,'Covenant Tracker'!$G$6:$G$29,_xlpm.numH,IF(ISNUMBER(_xlpm.hd),_xlpm.hd,9999),_xlpm.sorted,_xlfn.SORTBY(_xlpm.act,_xlpm.numH,1),INDEX(_xlpm.sorted,4)),"")</f>
        <v>2.1742023743275833</v>
      </c>
      <c r="M31" s="160" t="str" cm="1">
        <f t="array" ref="M31">IFERROR(_xlfn.LET(_xlpm.hd,'Covenant Tracker'!$H$6:$H$29,_xlpm.thr,'Covenant Tracker'!$E$6:$E$29,_xlpm.numH,IF(ISNUMBER(_xlpm.hd),_xlpm.hd,9999),_xlpm.sorted,_xlfn.SORTBY(_xlpm.thr,_xlpm.numH,1),INDEX(_xlpm.sorted,4)),"")</f>
        <v>&gt;1.33x</v>
      </c>
      <c r="N31" s="156" cm="1">
        <f t="array" ref="N31">IFERROR(_xlfn.LET(_xlpm.hd,'Covenant Tracker'!$H$6:$H$29,_xlpm.numH,IF(ISNUMBER(_xlpm.hd),_xlpm.hd,9999),_xlpm.sorted,_xlfn._xlws.SORT(_xlpm.numH,1,1),INDEX(_xlpm.sorted,4)),"")</f>
        <v>0.84420237432758327</v>
      </c>
    </row>
    <row r="32" spans="1:14" ht="19.5" customHeight="1" x14ac:dyDescent="0.3">
      <c r="A32" s="157"/>
      <c r="B32" s="157"/>
      <c r="C32" s="157"/>
      <c r="D32" s="157"/>
      <c r="E32" s="157"/>
      <c r="F32" s="157"/>
      <c r="G32" s="157"/>
      <c r="H32" s="149">
        <v>5</v>
      </c>
      <c r="I32" s="158" t="str" cm="1">
        <f t="array" ref="I32">IFERROR(_xlfn.LET(_xlpm.hd,'Covenant Tracker'!$H$6:$H$29,_xlpm.lndr,'Covenant Tracker'!$C$6:$C$29,_xlpm.numH,IF(ISNUMBER(_xlpm.hd),_xlpm.hd,9999),_xlpm.sorted,_xlfn.SORTBY(_xlpm.lndr,_xlpm.numH,1),INDEX(_xlpm.sorted,5)),"")</f>
        <v>ICICI Bank</v>
      </c>
      <c r="J32" s="259" t="str" cm="1">
        <f t="array" ref="J32">IFERROR(_xlfn.LET(_xlpm.hd,'Covenant Tracker'!$H$6:$H$29,_xlpm.cov,'Covenant Tracker'!$D$6:$D$29,_xlpm.numH,IF(ISNUMBER(_xlpm.hd),_xlpm.hd,9999),_xlpm.sorted,_xlfn.SORTBY(_xlpm.cov,_xlpm.numH,1),INDEX(_xlpm.sorted,5)),"")</f>
        <v>TOL / ATNW (till FY26)</v>
      </c>
      <c r="K32" s="259"/>
      <c r="L32" s="159" cm="1">
        <f t="array" ref="L32">IFERROR(_xlfn.LET(_xlpm.hd,'Covenant Tracker'!$H$6:$H$29,_xlpm.act,'Covenant Tracker'!$G$6:$G$29,_xlpm.numH,IF(ISNUMBER(_xlpm.hd),_xlpm.hd,9999),_xlpm.sorted,_xlfn.SORTBY(_xlpm.act,_xlpm.numH,1),INDEX(_xlpm.sorted,5)),"")</f>
        <v>1.5865059104278818</v>
      </c>
      <c r="M32" s="160" t="str" cm="1">
        <f t="array" ref="M32">IFERROR(_xlfn.LET(_xlpm.hd,'Covenant Tracker'!$H$6:$H$29,_xlpm.thr,'Covenant Tracker'!$E$6:$E$29,_xlpm.numH,IF(ISNUMBER(_xlpm.hd),_xlpm.hd,9999),_xlpm.sorted,_xlfn.SORTBY(_xlpm.thr,_xlpm.numH,1),INDEX(_xlpm.sorted,5)),"")</f>
        <v>&lt;2.5x</v>
      </c>
      <c r="N32" s="156" cm="1">
        <f t="array" ref="N32">IFERROR(_xlfn.LET(_xlpm.hd,'Covenant Tracker'!$H$6:$H$29,_xlpm.numH,IF(ISNUMBER(_xlpm.hd),_xlpm.hd,9999),_xlpm.sorted,_xlfn._xlws.SORT(_xlpm.numH,1,1),INDEX(_xlpm.sorted,5)),"")</f>
        <v>0.9134940895721182</v>
      </c>
    </row>
    <row r="33" spans="1:14" ht="7.5" customHeight="1" x14ac:dyDescent="0.3">
      <c r="A33" s="157"/>
      <c r="B33" s="157"/>
      <c r="C33" s="157"/>
      <c r="D33" s="157"/>
      <c r="E33" s="157"/>
      <c r="F33" s="157"/>
      <c r="G33" s="157"/>
      <c r="H33" s="157"/>
      <c r="I33" s="157"/>
      <c r="J33" s="157"/>
      <c r="K33" s="157"/>
      <c r="L33" s="157"/>
      <c r="M33" s="157"/>
      <c r="N33" s="157"/>
    </row>
    <row r="34" spans="1:14" ht="19.5" customHeight="1" x14ac:dyDescent="0.3">
      <c r="A34" s="157"/>
      <c r="B34" s="248" t="s">
        <v>806</v>
      </c>
      <c r="C34" s="249"/>
      <c r="D34" s="249"/>
      <c r="E34" s="249"/>
      <c r="F34" s="249"/>
      <c r="G34" s="249"/>
      <c r="H34" s="248" t="s">
        <v>807</v>
      </c>
      <c r="I34" s="249"/>
      <c r="J34" s="249"/>
      <c r="K34" s="249"/>
      <c r="L34" s="249"/>
      <c r="M34" s="249"/>
      <c r="N34" s="249"/>
    </row>
    <row r="35" spans="1:14" ht="21.75" customHeight="1" x14ac:dyDescent="0.3">
      <c r="A35" s="157"/>
      <c r="B35" s="165" t="s">
        <v>808</v>
      </c>
      <c r="C35" s="165" t="s">
        <v>809</v>
      </c>
      <c r="D35" s="165" t="s">
        <v>810</v>
      </c>
      <c r="E35" s="165" t="s">
        <v>811</v>
      </c>
      <c r="F35" s="165" t="s">
        <v>439</v>
      </c>
      <c r="G35" s="165" t="s">
        <v>812</v>
      </c>
      <c r="H35" s="165" t="s">
        <v>217</v>
      </c>
      <c r="I35" s="256" t="s">
        <v>813</v>
      </c>
      <c r="J35" s="256"/>
      <c r="K35" s="256" t="s">
        <v>814</v>
      </c>
      <c r="L35" s="256"/>
      <c r="M35" s="256" t="s">
        <v>815</v>
      </c>
      <c r="N35" s="261"/>
    </row>
    <row r="36" spans="1:14" ht="19.5" customHeight="1" x14ac:dyDescent="0.3">
      <c r="A36" s="157"/>
      <c r="B36" s="150" t="str">
        <f>IFERROR(INDEX('Repayment Schedule'!$D$193:$D$245,MATCH(AsOfDate,CONS_DATES,1)+1),"")</f>
        <v>Q1 FY27</v>
      </c>
      <c r="C36" s="151">
        <f>IFERROR(INDEX(CONS_DATES,MATCH(AsOfDate,CONS_DATES,1)+1),"")</f>
        <v>46203</v>
      </c>
      <c r="D36" s="152">
        <f>IFERROR(INDEX(CONS_PRINCIPAL,MATCH(AsOfDate,CONS_DATES,1)+1),"")</f>
        <v>23.490070921985819</v>
      </c>
      <c r="E36" s="152">
        <f>IFERROR(INDEX(CONS_INTEREST,MATCH(AsOfDate,CONS_DATES,1)+1),"")</f>
        <v>13.174279265520257</v>
      </c>
      <c r="F36" s="153">
        <f>IFERROR(D36+E36,"")</f>
        <v>36.664350187506074</v>
      </c>
      <c r="G36" s="154">
        <f>IFERROR(C36-AsOfDate,"")</f>
        <v>70</v>
      </c>
      <c r="H36" s="161" t="s">
        <v>260</v>
      </c>
      <c r="I36" s="262">
        <f>IFERROR(SUMIFS('Facility Master'!$J$5:$J$38,'Facility Master'!$C$5:$C$38,"RBL Bank"),0)</f>
        <v>1482</v>
      </c>
      <c r="J36" s="263"/>
      <c r="K36" s="264">
        <f>IFERROR(I36/SUM('Facility Master'!$J$5:$J$38),0)</f>
        <v>0.43451490896296951</v>
      </c>
      <c r="L36" s="264"/>
      <c r="M36" s="265">
        <f>IFERROR(K36,0)</f>
        <v>0.43451490896296951</v>
      </c>
      <c r="N36" s="265"/>
    </row>
    <row r="37" spans="1:14" ht="19.5" customHeight="1" x14ac:dyDescent="0.3">
      <c r="A37" s="157"/>
      <c r="B37" s="150" t="str">
        <f>IFERROR(INDEX('Repayment Schedule'!$D$193:$D$245,MATCH(AsOfDate,CONS_DATES,1)+2),"")</f>
        <v>Q2 FY27</v>
      </c>
      <c r="C37" s="151">
        <f>IFERROR(INDEX(CONS_DATES,MATCH(AsOfDate,CONS_DATES,1)+2),"")</f>
        <v>46295</v>
      </c>
      <c r="D37" s="152">
        <f>IFERROR(INDEX(CONS_PRINCIPAL,MATCH(AsOfDate,CONS_DATES,1)+2),"")</f>
        <v>28.847213779128676</v>
      </c>
      <c r="E37" s="152">
        <f>IFERROR(INDEX(CONS_INTEREST,MATCH(AsOfDate,CONS_DATES,1)+2),"")</f>
        <v>12.777032398717578</v>
      </c>
      <c r="F37" s="153">
        <f>IFERROR(D37+E37,"")</f>
        <v>41.624246177846253</v>
      </c>
      <c r="G37" s="154">
        <f>IFERROR(C37-AsOfDate,"")</f>
        <v>162</v>
      </c>
      <c r="H37" s="161" t="s">
        <v>346</v>
      </c>
      <c r="I37" s="262">
        <f>IFERROR(SUMIFS('Facility Master'!$J$5:$J$38,'Facility Master'!$C$5:$C$38,"YES Bank"),0)</f>
        <v>895.7</v>
      </c>
      <c r="J37" s="263"/>
      <c r="K37" s="264">
        <f>IFERROR(I37/SUM('Facility Master'!$J$5:$J$38),0)</f>
        <v>0.26261471252235613</v>
      </c>
      <c r="L37" s="264"/>
      <c r="M37" s="265">
        <f>IFERROR(K37,0)</f>
        <v>0.26261471252235613</v>
      </c>
      <c r="N37" s="265"/>
    </row>
    <row r="38" spans="1:14" ht="19.5" customHeight="1" x14ac:dyDescent="0.3">
      <c r="A38" s="157"/>
      <c r="B38" s="150" t="str">
        <f>IFERROR(INDEX('Repayment Schedule'!$D$193:$D$245,MATCH(AsOfDate,CONS_DATES,1)+3),"")</f>
        <v>Q3 FY27</v>
      </c>
      <c r="C38" s="151">
        <f>IFERROR(INDEX(CONS_DATES,MATCH(AsOfDate,CONS_DATES,1)+3),"")</f>
        <v>46387</v>
      </c>
      <c r="D38" s="152">
        <f>IFERROR(INDEX(CONS_PRINCIPAL,MATCH(AsOfDate,CONS_DATES,1)+3),"")</f>
        <v>28.847213779128676</v>
      </c>
      <c r="E38" s="152">
        <f>IFERROR(INDEX(CONS_INTEREST,MATCH(AsOfDate,CONS_DATES,1)+3),"")</f>
        <v>12.118887987675398</v>
      </c>
      <c r="F38" s="153">
        <f>IFERROR(D38+E38,"")</f>
        <v>40.966101766804073</v>
      </c>
      <c r="G38" s="154">
        <f>IFERROR(C38-AsOfDate,"")</f>
        <v>254</v>
      </c>
      <c r="H38" s="161" t="s">
        <v>369</v>
      </c>
      <c r="I38" s="262">
        <f>IFERROR(SUMIFS('Facility Master'!$J$5:$J$38,'Facility Master'!$C$5:$C$38,"Bajaj Finance"),0)</f>
        <v>150</v>
      </c>
      <c r="J38" s="263"/>
      <c r="K38" s="264">
        <f>IFERROR(I38/SUM('Facility Master'!$J$5:$J$38),0)</f>
        <v>4.397924179787141E-2</v>
      </c>
      <c r="L38" s="264"/>
      <c r="M38" s="265">
        <f>IFERROR(K38,0)</f>
        <v>4.397924179787141E-2</v>
      </c>
      <c r="N38" s="265"/>
    </row>
    <row r="39" spans="1:14" ht="19.5" customHeight="1" x14ac:dyDescent="0.3">
      <c r="A39" s="157"/>
      <c r="B39" s="150" t="str">
        <f>IFERROR(INDEX('Repayment Schedule'!$D$193:$D$245,MATCH(AsOfDate,CONS_DATES,1)+4),"")</f>
        <v>Q4 FY27</v>
      </c>
      <c r="C39" s="151">
        <f>IFERROR(INDEX(CONS_DATES,MATCH(AsOfDate,CONS_DATES,1)+4),"")</f>
        <v>46477</v>
      </c>
      <c r="D39" s="152">
        <f>IFERROR(INDEX(CONS_PRINCIPAL,MATCH(AsOfDate,CONS_DATES,1)+4),"")</f>
        <v>28.847213779128676</v>
      </c>
      <c r="E39" s="152">
        <f>IFERROR(INDEX(CONS_INTEREST,MATCH(AsOfDate,CONS_DATES,1)+4),"")</f>
        <v>11.211596977141195</v>
      </c>
      <c r="F39" s="153">
        <f>IFERROR(D39+E39,"")</f>
        <v>40.058810756269871</v>
      </c>
      <c r="G39" s="154">
        <f>IFERROR(C39-AsOfDate,"")</f>
        <v>344</v>
      </c>
      <c r="H39" s="161" t="s">
        <v>376</v>
      </c>
      <c r="I39" s="262">
        <f>IFERROR(SUMIFS('Facility Master'!$J$5:$J$38,'Facility Master'!$C$5:$C$38,"ICICI Bank"),0)</f>
        <v>430</v>
      </c>
      <c r="J39" s="263"/>
      <c r="K39" s="264">
        <f>IFERROR(I39/SUM('Facility Master'!$J$5:$J$38),0)</f>
        <v>0.12607382648723137</v>
      </c>
      <c r="L39" s="264"/>
      <c r="M39" s="265">
        <f>IFERROR(K39,0)</f>
        <v>0.12607382648723137</v>
      </c>
      <c r="N39" s="265"/>
    </row>
    <row r="40" spans="1:14" ht="19.5" customHeight="1" x14ac:dyDescent="0.3">
      <c r="A40" s="157"/>
      <c r="B40" s="157"/>
      <c r="C40" s="157"/>
      <c r="D40" s="157"/>
      <c r="E40" s="157"/>
      <c r="F40" s="157"/>
      <c r="G40" s="157"/>
      <c r="H40" s="161" t="s">
        <v>398</v>
      </c>
      <c r="I40" s="262">
        <f>IFERROR(SUMIFS('Facility Master'!$J$5:$J$38,'Facility Master'!$C$5:$C$38,"South Indian Bank"),0)</f>
        <v>453</v>
      </c>
      <c r="J40" s="263"/>
      <c r="K40" s="264">
        <f>IFERROR(I40/SUM('Facility Master'!$J$5:$J$38),0)</f>
        <v>0.13281731022957166</v>
      </c>
      <c r="L40" s="264"/>
      <c r="M40" s="265">
        <f>IFERROR(K40,0)</f>
        <v>0.13281731022957166</v>
      </c>
      <c r="N40" s="265"/>
    </row>
    <row r="41" spans="1:14" ht="7.5" customHeight="1" x14ac:dyDescent="0.3">
      <c r="A41" s="157"/>
      <c r="B41" s="157"/>
      <c r="C41" s="157"/>
      <c r="D41" s="157"/>
      <c r="E41" s="157"/>
      <c r="F41" s="157"/>
      <c r="G41" s="157"/>
      <c r="H41" s="157"/>
      <c r="I41" s="157"/>
      <c r="J41" s="157"/>
      <c r="K41" s="157"/>
      <c r="L41" s="157"/>
      <c r="M41" s="157"/>
      <c r="N41" s="157"/>
    </row>
    <row r="42" spans="1:14" ht="19.5" customHeight="1" x14ac:dyDescent="0.3">
      <c r="A42" s="157"/>
      <c r="B42" s="248" t="s">
        <v>816</v>
      </c>
      <c r="C42" s="249"/>
      <c r="D42" s="249"/>
      <c r="E42" s="249"/>
      <c r="F42" s="249"/>
      <c r="G42" s="249"/>
      <c r="H42" s="249"/>
      <c r="I42" s="249"/>
      <c r="J42" s="249"/>
      <c r="K42" s="249"/>
      <c r="L42" s="249"/>
      <c r="M42" s="249"/>
      <c r="N42" s="249"/>
    </row>
    <row r="43" spans="1:14" ht="21.75" customHeight="1" x14ac:dyDescent="0.3">
      <c r="A43" s="157"/>
      <c r="B43" s="165" t="s">
        <v>740</v>
      </c>
      <c r="C43" s="256" t="s">
        <v>817</v>
      </c>
      <c r="D43" s="256"/>
      <c r="E43" s="256" t="s">
        <v>818</v>
      </c>
      <c r="F43" s="256"/>
      <c r="G43" s="256" t="s">
        <v>819</v>
      </c>
      <c r="H43" s="256"/>
      <c r="I43" s="256" t="s">
        <v>820</v>
      </c>
      <c r="J43" s="256"/>
      <c r="K43" s="256" t="s">
        <v>1</v>
      </c>
      <c r="L43" s="261"/>
      <c r="M43" s="261"/>
      <c r="N43" s="261"/>
    </row>
    <row r="44" spans="1:14" ht="19.5" customHeight="1" x14ac:dyDescent="0.3">
      <c r="A44" s="157"/>
      <c r="B44" s="155" t="s">
        <v>821</v>
      </c>
      <c r="C44" s="266">
        <f>'Instructions &amp; Assumptions'!D25</f>
        <v>173.37</v>
      </c>
      <c r="D44" s="267"/>
      <c r="E44" s="266">
        <f>'Instructions &amp; Assumptions'!E25</f>
        <v>383.96</v>
      </c>
      <c r="F44" s="267"/>
      <c r="G44" s="268">
        <f>IFERROR((E44-C44)/C44,0)</f>
        <v>1.214685355021053</v>
      </c>
      <c r="H44" s="269"/>
      <c r="I44" s="270">
        <f>'Instructions &amp; Assumptions'!C25</f>
        <v>383.96</v>
      </c>
      <c r="J44" s="271"/>
      <c r="K44" s="272" t="s">
        <v>822</v>
      </c>
      <c r="L44" s="272"/>
      <c r="M44" s="272"/>
      <c r="N44" s="272"/>
    </row>
    <row r="45" spans="1:14" ht="19.5" customHeight="1" x14ac:dyDescent="0.3">
      <c r="A45" s="157"/>
      <c r="B45" s="155" t="s">
        <v>823</v>
      </c>
      <c r="C45" s="266">
        <f>'Instructions &amp; Assumptions'!D26</f>
        <v>471.82</v>
      </c>
      <c r="D45" s="267"/>
      <c r="E45" s="266">
        <f>'Instructions &amp; Assumptions'!E26</f>
        <v>613.03</v>
      </c>
      <c r="F45" s="267"/>
      <c r="G45" s="268">
        <f>IFERROR((E45-C45)/C45,0)</f>
        <v>0.29928786401593827</v>
      </c>
      <c r="H45" s="269"/>
      <c r="I45" s="270">
        <f>'Instructions &amp; Assumptions'!C26</f>
        <v>613.03</v>
      </c>
      <c r="J45" s="271"/>
      <c r="K45" s="272" t="s">
        <v>824</v>
      </c>
      <c r="L45" s="272"/>
      <c r="M45" s="272"/>
      <c r="N45" s="272"/>
    </row>
    <row r="46" spans="1:14" ht="19.5" customHeight="1" x14ac:dyDescent="0.3">
      <c r="A46" s="157"/>
      <c r="B46" s="155" t="s">
        <v>825</v>
      </c>
      <c r="C46" s="266">
        <f>'Instructions &amp; Assumptions'!D28</f>
        <v>720.11</v>
      </c>
      <c r="D46" s="267"/>
      <c r="E46" s="266">
        <f>'Instructions &amp; Assumptions'!E28</f>
        <v>740.13</v>
      </c>
      <c r="F46" s="267"/>
      <c r="G46" s="268">
        <f>IFERROR((E46-C46)/C46,0)</f>
        <v>2.7801308133479582E-2</v>
      </c>
      <c r="H46" s="269"/>
      <c r="I46" s="270">
        <f>'Instructions &amp; Assumptions'!C28</f>
        <v>740.13</v>
      </c>
      <c r="J46" s="271"/>
      <c r="K46" s="272" t="s">
        <v>826</v>
      </c>
      <c r="L46" s="272"/>
      <c r="M46" s="272"/>
      <c r="N46" s="272"/>
    </row>
    <row r="47" spans="1:14" ht="19.5" customHeight="1" x14ac:dyDescent="0.3">
      <c r="A47" s="157"/>
      <c r="B47" s="155" t="s">
        <v>827</v>
      </c>
      <c r="C47" s="266">
        <f>'Instructions &amp; Assumptions'!D33</f>
        <v>39.869999999999997</v>
      </c>
      <c r="D47" s="267"/>
      <c r="E47" s="266">
        <f>'Instructions &amp; Assumptions'!E33</f>
        <v>49.08</v>
      </c>
      <c r="F47" s="267"/>
      <c r="G47" s="268">
        <f>IFERROR((E47-C47)/C47,0)</f>
        <v>0.23100075244544774</v>
      </c>
      <c r="H47" s="269"/>
      <c r="I47" s="270">
        <f>'Instructions &amp; Assumptions'!C33</f>
        <v>49.08</v>
      </c>
      <c r="J47" s="271"/>
      <c r="K47" s="272" t="s">
        <v>828</v>
      </c>
      <c r="L47" s="272"/>
      <c r="M47" s="272"/>
      <c r="N47" s="272"/>
    </row>
    <row r="48" spans="1:14" ht="19.5" customHeight="1" x14ac:dyDescent="0.3">
      <c r="A48" s="157"/>
      <c r="B48" s="155" t="s">
        <v>829</v>
      </c>
      <c r="C48" s="266">
        <f>'Instructions &amp; Assumptions'!D34</f>
        <v>449.34</v>
      </c>
      <c r="D48" s="267"/>
      <c r="E48" s="266">
        <f>'Instructions &amp; Assumptions'!E34</f>
        <v>937.69</v>
      </c>
      <c r="F48" s="267"/>
      <c r="G48" s="268">
        <f>IFERROR((E48-C48)/C48,0)</f>
        <v>1.0868162193439268</v>
      </c>
      <c r="H48" s="269"/>
      <c r="I48" s="270">
        <f>'Instructions &amp; Assumptions'!C34</f>
        <v>937.69</v>
      </c>
      <c r="J48" s="271"/>
      <c r="K48" s="272" t="s">
        <v>830</v>
      </c>
      <c r="L48" s="272"/>
      <c r="M48" s="272"/>
      <c r="N48" s="272"/>
    </row>
    <row r="49" spans="1:14" ht="7.5" customHeight="1" x14ac:dyDescent="0.3">
      <c r="A49" s="157"/>
      <c r="B49" s="157"/>
      <c r="C49" s="157"/>
      <c r="D49" s="157"/>
      <c r="E49" s="157"/>
      <c r="F49" s="157"/>
      <c r="G49" s="157"/>
      <c r="H49" s="157"/>
      <c r="I49" s="157"/>
      <c r="J49" s="157"/>
      <c r="K49" s="157"/>
      <c r="L49" s="157"/>
      <c r="M49" s="157"/>
      <c r="N49" s="157"/>
    </row>
    <row r="50" spans="1:14" ht="19.5" customHeight="1" x14ac:dyDescent="0.3">
      <c r="A50" s="157"/>
      <c r="B50" s="248" t="s">
        <v>831</v>
      </c>
      <c r="C50" s="249"/>
      <c r="D50" s="249"/>
      <c r="E50" s="249"/>
      <c r="F50" s="249"/>
      <c r="G50" s="249"/>
      <c r="H50" s="248" t="s">
        <v>832</v>
      </c>
      <c r="I50" s="249"/>
      <c r="J50" s="249"/>
      <c r="K50" s="249"/>
      <c r="L50" s="249"/>
      <c r="M50" s="249"/>
      <c r="N50" s="249"/>
    </row>
    <row r="51" spans="1:14" ht="21.75" customHeight="1" x14ac:dyDescent="0.3">
      <c r="A51" s="157"/>
      <c r="B51" s="165" t="s">
        <v>833</v>
      </c>
      <c r="C51" s="256" t="s">
        <v>834</v>
      </c>
      <c r="D51" s="256"/>
      <c r="E51" s="256" t="s">
        <v>835</v>
      </c>
      <c r="F51" s="261"/>
      <c r="G51" s="261"/>
      <c r="H51" s="165" t="s">
        <v>836</v>
      </c>
      <c r="I51" s="256" t="s">
        <v>813</v>
      </c>
      <c r="J51" s="256"/>
      <c r="K51" s="256" t="s">
        <v>814</v>
      </c>
      <c r="L51" s="256"/>
      <c r="M51" s="256" t="s">
        <v>835</v>
      </c>
      <c r="N51" s="261"/>
    </row>
    <row r="52" spans="1:14" ht="19.5" customHeight="1" x14ac:dyDescent="0.3">
      <c r="A52" s="157"/>
      <c r="B52" s="162" t="s">
        <v>837</v>
      </c>
      <c r="C52" s="266">
        <f>IFERROR(SUMIFS(CONS_PRINCIPAL,CONS_DATES,"&gt;="&amp;DATE(2024,4,1),CONS_DATES,"&lt;="&amp;DATE(2025,3,31)),0)</f>
        <v>6.823404255319149</v>
      </c>
      <c r="D52" s="267"/>
      <c r="E52" s="273">
        <f t="shared" ref="E52:E64" si="0">IFERROR(C52,0)</f>
        <v>6.823404255319149</v>
      </c>
      <c r="F52" s="273"/>
      <c r="G52" s="273"/>
      <c r="H52" s="163" t="s">
        <v>838</v>
      </c>
      <c r="I52" s="262">
        <f>IFERROR(SUMIFS('Facility Master'!$J$5:$J$38,'Facility Master'!$E$5:$E$38,"FB")+SUMIFS('Facility Master'!$J$5:$J$38,'Facility Master'!$E$5:$E$38,"FB-FDbacked")+SUMIFS('Facility Master'!$J$5:$J$38,'Facility Master'!$E$5:$E$38,"FB-FCY"),0)</f>
        <v>1147</v>
      </c>
      <c r="J52" s="263"/>
      <c r="K52" s="264">
        <f>IFERROR(I52/SUM('Facility Master'!$J$5:$J$38),0)</f>
        <v>0.33629460228105668</v>
      </c>
      <c r="L52" s="264"/>
      <c r="M52" s="265">
        <f>IFERROR(K52,0)</f>
        <v>0.33629460228105668</v>
      </c>
      <c r="N52" s="265"/>
    </row>
    <row r="53" spans="1:14" ht="19.5" customHeight="1" x14ac:dyDescent="0.3">
      <c r="A53" s="157"/>
      <c r="B53" s="162" t="s">
        <v>839</v>
      </c>
      <c r="C53" s="266">
        <f>IFERROR(SUMIFS(CONS_PRINCIPAL,CONS_DATES,"&gt;="&amp;DATE(2025,4,1),CONS_DATES,"&lt;="&amp;DATE(2026,3,31)),0)</f>
        <v>43.960283687943267</v>
      </c>
      <c r="D53" s="267"/>
      <c r="E53" s="273">
        <f t="shared" si="0"/>
        <v>43.960283687943267</v>
      </c>
      <c r="F53" s="273"/>
      <c r="G53" s="273"/>
      <c r="H53" s="163" t="s">
        <v>35</v>
      </c>
      <c r="I53" s="262">
        <f>IFERROR(SUMIFS('Facility Master'!$J$5:$J$38,'Facility Master'!$E$5:$E$38,"FB-Term"),0)</f>
        <v>670.7</v>
      </c>
      <c r="J53" s="263"/>
      <c r="K53" s="264">
        <f>IFERROR(I53/SUM('Facility Master'!$J$5:$J$38),0)</f>
        <v>0.19664584982554903</v>
      </c>
      <c r="L53" s="264"/>
      <c r="M53" s="265">
        <f>IFERROR(K53,0)</f>
        <v>0.19664584982554903</v>
      </c>
      <c r="N53" s="265"/>
    </row>
    <row r="54" spans="1:14" ht="19.5" customHeight="1" x14ac:dyDescent="0.3">
      <c r="A54" s="157"/>
      <c r="B54" s="162" t="s">
        <v>840</v>
      </c>
      <c r="C54" s="266">
        <f>IFERROR(SUMIFS(CONS_PRINCIPAL,CONS_DATES,"&gt;="&amp;DATE(2026,4,1),CONS_DATES,"&lt;="&amp;DATE(2027,3,31)),0)</f>
        <v>110.03171225937186</v>
      </c>
      <c r="D54" s="267"/>
      <c r="E54" s="273">
        <f t="shared" si="0"/>
        <v>110.03171225937186</v>
      </c>
      <c r="F54" s="273"/>
      <c r="G54" s="273"/>
      <c r="H54" s="163" t="s">
        <v>841</v>
      </c>
      <c r="I54" s="262">
        <f>IFERROR(SUMIFS('Facility Master'!$J$5:$J$38,'Facility Master'!$E$5:$E$38,"NFB")+SUMIFS('Facility Master'!$J$5:$J$38,'Facility Master'!$E$5:$E$38,"NFB-FDbacked"),0)</f>
        <v>1570</v>
      </c>
      <c r="J54" s="263"/>
      <c r="K54" s="264">
        <f>IFERROR(I54/SUM('Facility Master'!$J$5:$J$38),0)</f>
        <v>0.46031606415105408</v>
      </c>
      <c r="L54" s="264"/>
      <c r="M54" s="265">
        <f>IFERROR(K54,0)</f>
        <v>0.46031606415105408</v>
      </c>
      <c r="N54" s="265"/>
    </row>
    <row r="55" spans="1:14" ht="19.5" customHeight="1" x14ac:dyDescent="0.3">
      <c r="A55" s="157"/>
      <c r="B55" s="162" t="s">
        <v>842</v>
      </c>
      <c r="C55" s="266">
        <f>IFERROR(SUMIFS(CONS_PRINCIPAL,CONS_DATES,"&gt;="&amp;DATE(2027,4,1),CONS_DATES,"&lt;="&amp;DATE(2028,3,31)),0)</f>
        <v>115.3888551165147</v>
      </c>
      <c r="D55" s="267"/>
      <c r="E55" s="273">
        <f t="shared" si="0"/>
        <v>115.3888551165147</v>
      </c>
      <c r="F55" s="273"/>
      <c r="G55" s="273"/>
      <c r="H55" s="163" t="s">
        <v>843</v>
      </c>
      <c r="I55" s="262">
        <f>IFERROR(SUMIFS('Facility Master'!$J$5:$J$38,'Facility Master'!$E$5:$E$38,"Hedge"),0)</f>
        <v>23</v>
      </c>
      <c r="J55" s="263"/>
      <c r="K55" s="264">
        <f>IFERROR(I55/SUM('Facility Master'!$J$5:$J$38),0)</f>
        <v>6.7434837423402828E-3</v>
      </c>
      <c r="L55" s="264"/>
      <c r="M55" s="265">
        <f>IFERROR(K55,0)</f>
        <v>6.7434837423402828E-3</v>
      </c>
      <c r="N55" s="265"/>
    </row>
    <row r="56" spans="1:14" ht="18" customHeight="1" x14ac:dyDescent="0.3">
      <c r="A56" s="157"/>
      <c r="B56" s="162" t="s">
        <v>844</v>
      </c>
      <c r="C56" s="266">
        <f>IFERROR(SUMIFS(CONS_PRINCIPAL,CONS_DATES,"&gt;="&amp;DATE(2028,4,1),CONS_DATES,"&lt;="&amp;DATE(2029,3,31)),0)</f>
        <v>98.722188449848034</v>
      </c>
      <c r="D56" s="267"/>
      <c r="E56" s="273">
        <f t="shared" si="0"/>
        <v>98.722188449848034</v>
      </c>
      <c r="F56" s="273"/>
      <c r="G56" s="273"/>
      <c r="H56" s="157"/>
      <c r="I56" s="157"/>
      <c r="J56" s="157"/>
      <c r="K56" s="157"/>
      <c r="L56" s="157"/>
      <c r="M56" s="157"/>
      <c r="N56" s="157"/>
    </row>
    <row r="57" spans="1:14" ht="18" customHeight="1" x14ac:dyDescent="0.3">
      <c r="A57" s="157"/>
      <c r="B57" s="162" t="s">
        <v>845</v>
      </c>
      <c r="C57" s="266">
        <f>IFERROR(SUMIFS(CONS_PRINCIPAL,CONS_DATES,"&gt;="&amp;DATE(2029,4,1),CONS_DATES,"&lt;="&amp;DATE(2030,3,31)),0)</f>
        <v>48.722188449848019</v>
      </c>
      <c r="D57" s="267"/>
      <c r="E57" s="273">
        <f t="shared" si="0"/>
        <v>48.722188449848019</v>
      </c>
      <c r="F57" s="273"/>
      <c r="G57" s="273"/>
      <c r="H57" s="157"/>
      <c r="I57" s="157"/>
      <c r="J57" s="157"/>
      <c r="K57" s="157"/>
      <c r="L57" s="157"/>
      <c r="M57" s="157"/>
      <c r="N57" s="157"/>
    </row>
    <row r="58" spans="1:14" ht="18" customHeight="1" x14ac:dyDescent="0.3">
      <c r="A58" s="157"/>
      <c r="B58" s="162" t="s">
        <v>846</v>
      </c>
      <c r="C58" s="266">
        <f>IFERROR(SUMIFS(CONS_PRINCIPAL,CONS_DATES,"&gt;="&amp;DATE(2030,4,1),CONS_DATES,"&lt;="&amp;DATE(2031,3,31)),0)</f>
        <v>48.722188449848019</v>
      </c>
      <c r="D58" s="267"/>
      <c r="E58" s="273">
        <f t="shared" si="0"/>
        <v>48.722188449848019</v>
      </c>
      <c r="F58" s="273"/>
      <c r="G58" s="273"/>
      <c r="H58" s="157"/>
      <c r="I58" s="157"/>
      <c r="J58" s="157"/>
      <c r="K58" s="157"/>
      <c r="L58" s="157"/>
      <c r="M58" s="157"/>
      <c r="N58" s="157"/>
    </row>
    <row r="59" spans="1:14" ht="18" customHeight="1" x14ac:dyDescent="0.3">
      <c r="A59" s="157"/>
      <c r="B59" s="162" t="s">
        <v>847</v>
      </c>
      <c r="C59" s="266">
        <f>IFERROR(SUMIFS(CONS_PRINCIPAL,CONS_DATES,"&gt;="&amp;DATE(2031,4,1),CONS_DATES,"&lt;="&amp;DATE(2032,3,31)),0)</f>
        <v>48.722188449848019</v>
      </c>
      <c r="D59" s="267"/>
      <c r="E59" s="273">
        <f t="shared" si="0"/>
        <v>48.722188449848019</v>
      </c>
      <c r="F59" s="273"/>
      <c r="G59" s="273"/>
      <c r="H59" s="157"/>
      <c r="I59" s="157"/>
      <c r="J59" s="157"/>
      <c r="K59" s="157"/>
      <c r="L59" s="157"/>
      <c r="M59" s="157"/>
      <c r="N59" s="157"/>
    </row>
    <row r="60" spans="1:14" ht="18" customHeight="1" x14ac:dyDescent="0.3">
      <c r="A60" s="157"/>
      <c r="B60" s="162" t="s">
        <v>848</v>
      </c>
      <c r="C60" s="266">
        <f>IFERROR(SUMIFS(CONS_PRINCIPAL,CONS_DATES,"&gt;="&amp;DATE(2032,4,1),CONS_DATES,"&lt;="&amp;DATE(2033,3,31)),0)</f>
        <v>48.722188449848019</v>
      </c>
      <c r="D60" s="267"/>
      <c r="E60" s="273">
        <f t="shared" si="0"/>
        <v>48.722188449848019</v>
      </c>
      <c r="F60" s="273"/>
      <c r="G60" s="273"/>
      <c r="H60" s="157"/>
      <c r="I60" s="157"/>
      <c r="J60" s="157"/>
      <c r="K60" s="157"/>
      <c r="L60" s="157"/>
      <c r="M60" s="157"/>
      <c r="N60" s="157"/>
    </row>
    <row r="61" spans="1:14" ht="18" customHeight="1" x14ac:dyDescent="0.3">
      <c r="A61" s="157"/>
      <c r="B61" s="162" t="s">
        <v>849</v>
      </c>
      <c r="C61" s="266">
        <f>IFERROR(SUMIFS(CONS_PRINCIPAL,CONS_DATES,"&gt;="&amp;DATE(2033,4,1),CONS_DATES,"&lt;="&amp;DATE(2034,3,31)),0)</f>
        <v>32.6507598784194</v>
      </c>
      <c r="D61" s="267"/>
      <c r="E61" s="273">
        <f t="shared" si="0"/>
        <v>32.6507598784194</v>
      </c>
      <c r="F61" s="273"/>
      <c r="G61" s="273"/>
      <c r="H61" s="157"/>
      <c r="I61" s="157"/>
      <c r="J61" s="157"/>
      <c r="K61" s="157"/>
      <c r="L61" s="157"/>
      <c r="M61" s="157"/>
      <c r="N61" s="157"/>
    </row>
    <row r="62" spans="1:14" ht="18" customHeight="1" x14ac:dyDescent="0.3">
      <c r="A62" s="157"/>
      <c r="B62" s="162" t="s">
        <v>850</v>
      </c>
      <c r="C62" s="266">
        <f>IFERROR(SUMIFS(CONS_PRINCIPAL,CONS_DATES,"&gt;="&amp;DATE(2034,4,1),CONS_DATES,"&lt;="&amp;DATE(2035,3,31)),0)</f>
        <v>27.293617021276596</v>
      </c>
      <c r="D62" s="267"/>
      <c r="E62" s="273">
        <f t="shared" si="0"/>
        <v>27.293617021276596</v>
      </c>
      <c r="F62" s="273"/>
      <c r="G62" s="273"/>
      <c r="H62" s="157"/>
      <c r="I62" s="157"/>
      <c r="J62" s="157"/>
      <c r="K62" s="157"/>
      <c r="L62" s="157"/>
      <c r="M62" s="157"/>
      <c r="N62" s="157"/>
    </row>
    <row r="63" spans="1:14" ht="18" customHeight="1" x14ac:dyDescent="0.3">
      <c r="A63" s="157"/>
      <c r="B63" s="162" t="s">
        <v>851</v>
      </c>
      <c r="C63" s="266">
        <f>IFERROR(SUMIFS(CONS_PRINCIPAL,CONS_DATES,"&gt;="&amp;DATE(2035,4,1),CONS_DATES,"&lt;="&amp;DATE(2036,3,31)),0)</f>
        <v>27.293617021276596</v>
      </c>
      <c r="D63" s="267"/>
      <c r="E63" s="273">
        <f t="shared" si="0"/>
        <v>27.293617021276596</v>
      </c>
      <c r="F63" s="273"/>
      <c r="G63" s="273"/>
      <c r="H63" s="157"/>
      <c r="I63" s="157"/>
      <c r="J63" s="157"/>
      <c r="K63" s="157"/>
      <c r="L63" s="157"/>
      <c r="M63" s="157"/>
      <c r="N63" s="157"/>
    </row>
    <row r="64" spans="1:14" ht="18" customHeight="1" x14ac:dyDescent="0.3">
      <c r="A64" s="157"/>
      <c r="B64" s="162" t="s">
        <v>852</v>
      </c>
      <c r="C64" s="266">
        <f>IFERROR(SUMIFS(CONS_PRINCIPAL,CONS_DATES,"&gt;="&amp;DATE(2036,4,1),CONS_DATES,"&lt;="&amp;DATE(2037,3,31)),0)</f>
        <v>13.646808510638222</v>
      </c>
      <c r="D64" s="267"/>
      <c r="E64" s="273">
        <f t="shared" si="0"/>
        <v>13.646808510638222</v>
      </c>
      <c r="F64" s="273"/>
      <c r="G64" s="273"/>
      <c r="H64" s="157"/>
      <c r="I64" s="157"/>
      <c r="J64" s="157"/>
      <c r="K64" s="157"/>
      <c r="L64" s="157"/>
      <c r="M64" s="157"/>
      <c r="N64" s="157"/>
    </row>
    <row r="65" spans="1:14" ht="21.75" customHeight="1" x14ac:dyDescent="0.3">
      <c r="A65" s="157"/>
      <c r="B65" s="164" t="s">
        <v>439</v>
      </c>
      <c r="C65" s="274">
        <f>IFERROR(SUM(C52:C64),0)</f>
        <v>670.7</v>
      </c>
      <c r="D65" s="275"/>
      <c r="E65" s="157"/>
      <c r="F65" s="157"/>
      <c r="G65" s="157"/>
      <c r="H65" s="157"/>
      <c r="I65" s="157"/>
      <c r="J65" s="157"/>
      <c r="K65" s="157"/>
      <c r="L65" s="157"/>
      <c r="M65" s="157"/>
      <c r="N65" s="157"/>
    </row>
    <row r="66" spans="1:14" ht="7.5" customHeight="1" x14ac:dyDescent="0.3">
      <c r="A66" s="157"/>
      <c r="B66" s="157"/>
      <c r="C66" s="157"/>
      <c r="D66" s="157"/>
      <c r="E66" s="157"/>
      <c r="F66" s="157"/>
      <c r="G66" s="157"/>
      <c r="H66" s="157"/>
      <c r="I66" s="157"/>
      <c r="J66" s="157"/>
      <c r="K66" s="157"/>
      <c r="L66" s="157"/>
      <c r="M66" s="157"/>
      <c r="N66" s="157"/>
    </row>
    <row r="67" spans="1:14" ht="27.75" customHeight="1" x14ac:dyDescent="0.3">
      <c r="A67" s="157"/>
      <c r="B67" s="276" t="s">
        <v>853</v>
      </c>
      <c r="C67" s="277"/>
      <c r="D67" s="277"/>
      <c r="E67" s="277"/>
      <c r="F67" s="277"/>
      <c r="G67" s="277"/>
      <c r="H67" s="277"/>
      <c r="I67" s="277"/>
      <c r="J67" s="277"/>
      <c r="K67" s="277"/>
      <c r="L67" s="277"/>
      <c r="M67" s="277"/>
      <c r="N67" s="277"/>
    </row>
    <row r="68" spans="1:14" ht="15.75" customHeight="1" x14ac:dyDescent="0.3">
      <c r="A68" s="157"/>
      <c r="B68" s="278" t="s">
        <v>854</v>
      </c>
      <c r="C68" s="278"/>
      <c r="D68" s="278"/>
      <c r="E68" s="278"/>
      <c r="F68" s="278"/>
      <c r="G68" s="278"/>
      <c r="H68" s="278"/>
      <c r="I68" s="278"/>
      <c r="J68" s="278"/>
      <c r="K68" s="278"/>
      <c r="L68" s="278"/>
      <c r="M68" s="278"/>
      <c r="N68" s="278"/>
    </row>
    <row r="69" spans="1:14" x14ac:dyDescent="0.3">
      <c r="A69" s="157"/>
      <c r="B69" s="157"/>
      <c r="C69" s="157"/>
      <c r="D69" s="157"/>
      <c r="E69" s="157"/>
      <c r="F69" s="157"/>
      <c r="G69" s="157"/>
      <c r="H69" s="157"/>
      <c r="I69" s="157"/>
      <c r="J69" s="157"/>
      <c r="K69" s="157"/>
      <c r="L69" s="157"/>
      <c r="M69" s="157"/>
      <c r="N69" s="157"/>
    </row>
    <row r="70" spans="1:14" ht="24" customHeight="1" x14ac:dyDescent="0.3">
      <c r="A70" s="157"/>
      <c r="B70" s="279" t="s">
        <v>855</v>
      </c>
      <c r="C70" s="280"/>
      <c r="D70" s="280"/>
      <c r="E70" s="280"/>
      <c r="F70" s="280"/>
      <c r="G70" s="280"/>
      <c r="H70" s="280"/>
      <c r="I70" s="280"/>
      <c r="J70" s="280"/>
      <c r="K70" s="280"/>
      <c r="L70" s="280"/>
      <c r="M70" s="280"/>
      <c r="N70" s="280"/>
    </row>
    <row r="71" spans="1:14" x14ac:dyDescent="0.3">
      <c r="A71" s="157"/>
      <c r="B71" s="157"/>
      <c r="C71" s="157"/>
      <c r="D71" s="157"/>
      <c r="E71" s="157"/>
      <c r="F71" s="157"/>
      <c r="G71" s="157"/>
      <c r="H71" s="157"/>
      <c r="I71" s="157"/>
      <c r="J71" s="157"/>
      <c r="K71" s="157"/>
      <c r="L71" s="157"/>
      <c r="M71" s="157"/>
      <c r="N71" s="157"/>
    </row>
    <row r="72" spans="1:14" ht="45.75" customHeight="1" x14ac:dyDescent="0.3">
      <c r="A72" s="157"/>
      <c r="B72" s="166" t="s">
        <v>856</v>
      </c>
      <c r="C72" s="281" t="s">
        <v>857</v>
      </c>
      <c r="D72" s="281"/>
      <c r="E72" s="281"/>
      <c r="F72" s="282" t="s">
        <v>858</v>
      </c>
      <c r="G72" s="282"/>
      <c r="H72" s="282"/>
      <c r="I72" s="282"/>
      <c r="J72" s="282"/>
      <c r="K72" s="282"/>
      <c r="L72" s="282"/>
      <c r="M72" s="282"/>
      <c r="N72" s="282"/>
    </row>
    <row r="73" spans="1:14" ht="45.75" customHeight="1" x14ac:dyDescent="0.3">
      <c r="A73" s="157"/>
      <c r="B73" s="167" t="s">
        <v>859</v>
      </c>
      <c r="C73" s="283" t="s">
        <v>860</v>
      </c>
      <c r="D73" s="283"/>
      <c r="E73" s="283"/>
      <c r="F73" s="284" t="s">
        <v>861</v>
      </c>
      <c r="G73" s="284"/>
      <c r="H73" s="284"/>
      <c r="I73" s="284"/>
      <c r="J73" s="284"/>
      <c r="K73" s="284"/>
      <c r="L73" s="284"/>
      <c r="M73" s="284"/>
      <c r="N73" s="284"/>
    </row>
    <row r="74" spans="1:14" ht="45.75" customHeight="1" x14ac:dyDescent="0.3">
      <c r="A74" s="157"/>
      <c r="B74" s="167" t="s">
        <v>859</v>
      </c>
      <c r="C74" s="283" t="s">
        <v>862</v>
      </c>
      <c r="D74" s="283"/>
      <c r="E74" s="283"/>
      <c r="F74" s="284" t="s">
        <v>863</v>
      </c>
      <c r="G74" s="284"/>
      <c r="H74" s="284"/>
      <c r="I74" s="284"/>
      <c r="J74" s="284"/>
      <c r="K74" s="284"/>
      <c r="L74" s="284"/>
      <c r="M74" s="284"/>
      <c r="N74" s="284"/>
    </row>
    <row r="75" spans="1:14" ht="45.75" customHeight="1" x14ac:dyDescent="0.3">
      <c r="A75" s="157"/>
      <c r="B75" s="168" t="s">
        <v>864</v>
      </c>
      <c r="C75" s="285" t="s">
        <v>865</v>
      </c>
      <c r="D75" s="285"/>
      <c r="E75" s="285"/>
      <c r="F75" s="286" t="s">
        <v>866</v>
      </c>
      <c r="G75" s="286"/>
      <c r="H75" s="286"/>
      <c r="I75" s="286"/>
      <c r="J75" s="286"/>
      <c r="K75" s="286"/>
      <c r="L75" s="286"/>
      <c r="M75" s="286"/>
      <c r="N75" s="286"/>
    </row>
    <row r="76" spans="1:14" ht="45.75" customHeight="1" x14ac:dyDescent="0.3">
      <c r="A76" s="157"/>
      <c r="B76" s="168" t="s">
        <v>864</v>
      </c>
      <c r="C76" s="285" t="s">
        <v>867</v>
      </c>
      <c r="D76" s="285"/>
      <c r="E76" s="285"/>
      <c r="F76" s="286" t="s">
        <v>868</v>
      </c>
      <c r="G76" s="286"/>
      <c r="H76" s="286"/>
      <c r="I76" s="286"/>
      <c r="J76" s="286"/>
      <c r="K76" s="286"/>
      <c r="L76" s="286"/>
      <c r="M76" s="286"/>
      <c r="N76" s="286"/>
    </row>
    <row r="77" spans="1:14" ht="45.75" customHeight="1" x14ac:dyDescent="0.3">
      <c r="A77" s="157"/>
      <c r="B77" s="168" t="s">
        <v>864</v>
      </c>
      <c r="C77" s="285" t="s">
        <v>869</v>
      </c>
      <c r="D77" s="285"/>
      <c r="E77" s="285"/>
      <c r="F77" s="286" t="s">
        <v>870</v>
      </c>
      <c r="G77" s="286"/>
      <c r="H77" s="286"/>
      <c r="I77" s="286"/>
      <c r="J77" s="286"/>
      <c r="K77" s="286"/>
      <c r="L77" s="286"/>
      <c r="M77" s="286"/>
      <c r="N77" s="286"/>
    </row>
    <row r="78" spans="1:14" ht="45.75" customHeight="1" x14ac:dyDescent="0.3">
      <c r="A78" s="157"/>
      <c r="B78" s="166" t="s">
        <v>856</v>
      </c>
      <c r="C78" s="281" t="s">
        <v>871</v>
      </c>
      <c r="D78" s="281"/>
      <c r="E78" s="281"/>
      <c r="F78" s="282" t="s">
        <v>872</v>
      </c>
      <c r="G78" s="282"/>
      <c r="H78" s="282"/>
      <c r="I78" s="282"/>
      <c r="J78" s="282"/>
      <c r="K78" s="282"/>
      <c r="L78" s="282"/>
      <c r="M78" s="282"/>
      <c r="N78" s="282"/>
    </row>
    <row r="80" spans="1:14" ht="15.6" x14ac:dyDescent="0.3">
      <c r="B80" s="169" t="s">
        <v>1096</v>
      </c>
    </row>
    <row r="81" spans="2:5" ht="15" thickBot="1" x14ac:dyDescent="0.35">
      <c r="B81" s="186" t="s">
        <v>1097</v>
      </c>
      <c r="C81" s="187" t="s">
        <v>876</v>
      </c>
      <c r="D81" s="187" t="s">
        <v>804</v>
      </c>
      <c r="E81" s="188" t="s">
        <v>0</v>
      </c>
    </row>
    <row r="82" spans="2:5" x14ac:dyDescent="0.3">
      <c r="B82" s="183" t="s">
        <v>1098</v>
      </c>
      <c r="C82" s="184">
        <f>SUM('Facility Master'!$J$5:$J$38)</f>
        <v>3410.7</v>
      </c>
      <c r="D82" s="184">
        <f>'Lender Summary'!D11</f>
        <v>3410.7</v>
      </c>
      <c r="E82" s="185" t="str">
        <f>IF(ABS(C82-D82)&lt;0.01,"✓ PASS","✗ FAIL")</f>
        <v>✓ PASS</v>
      </c>
    </row>
    <row r="83" spans="2:5" x14ac:dyDescent="0.3">
      <c r="B83" s="175" t="s">
        <v>1099</v>
      </c>
      <c r="C83" s="176">
        <f>SUM('Facility Master'!$J$5:$J$38)</f>
        <v>3410.7</v>
      </c>
      <c r="D83" s="176">
        <f>SUMIFS('Facility Master'!$J$5:$J$38,'Facility Master'!$E$5:$E$38,"FB")+SUMIFS('Facility Master'!$J$5:$J$38,'Facility Master'!$E$5:$E$38,"FB-Term")+SUMIFS('Facility Master'!$J$5:$J$38,'Facility Master'!$E$5:$E$38,"FB-FDbacked")+SUMIFS('Facility Master'!$J$5:$J$38,'Facility Master'!$E$5:$E$38,"FB-FCY")+SUMIFS('Facility Master'!$J$5:$J$38,'Facility Master'!$E$5:$E$38,"NFB")+SUMIFS('Facility Master'!$J$5:$J$38,'Facility Master'!$E$5:$E$38,"NFB-FDbacked")+SUMIFS('Facility Master'!$J$5:$J$38,'Facility Master'!$E$5:$E$38,"Hedge")</f>
        <v>3410.7</v>
      </c>
      <c r="E83" s="177" t="str">
        <f>IF(ABS(C83-D83)&lt;0.01,"✓ PASS","✗ FAIL")</f>
        <v>✓ PASS</v>
      </c>
    </row>
    <row r="84" spans="2:5" x14ac:dyDescent="0.3">
      <c r="B84" s="175" t="s">
        <v>1101</v>
      </c>
      <c r="C84" s="176">
        <f>'Interest Schedule'!J40</f>
        <v>87.64139999999999</v>
      </c>
      <c r="D84" s="176">
        <f>SUM('Interest Schedule'!J6:J39)</f>
        <v>87.64139999999999</v>
      </c>
      <c r="E84" s="177" t="str">
        <f>IF(ABS(C84-D84)&lt;0.01,"✓ PASS","✗ FAIL")</f>
        <v>✓ PASS</v>
      </c>
    </row>
    <row r="85" spans="2:5" x14ac:dyDescent="0.3">
      <c r="B85" s="175" t="s">
        <v>1100</v>
      </c>
      <c r="C85" s="176">
        <f>SUM('Facility Master'!J13,'Facility Master'!J25,'Facility Master'!J26)</f>
        <v>670.7</v>
      </c>
      <c r="D85" s="176">
        <f>'Data Validation &amp; Checks'!D11+'Data Validation &amp; Checks'!D12+'Data Validation &amp; Checks'!D13</f>
        <v>670.7</v>
      </c>
      <c r="E85" s="177" t="str">
        <f>IF(ABS(C85-D85)&lt;0.01,"✓ PASS","✗ FAIL")</f>
        <v>✓ PASS</v>
      </c>
    </row>
    <row r="86" spans="2:5" x14ac:dyDescent="0.3">
      <c r="B86" s="175" t="s">
        <v>1102</v>
      </c>
      <c r="C86" s="176">
        <v>24</v>
      </c>
      <c r="D86" s="176">
        <f>COUNTA('Covenant Tracker'!$I$6:$I$29)</f>
        <v>24</v>
      </c>
      <c r="E86" s="177" t="str">
        <f>IF(C86=D86,"✓ PASS","✗ FAIL")</f>
        <v>✓ PASS</v>
      </c>
    </row>
    <row r="87" spans="2:5" x14ac:dyDescent="0.3">
      <c r="B87" s="175" t="s">
        <v>1103</v>
      </c>
      <c r="C87" s="178">
        <f>AsOfDate</f>
        <v>46133</v>
      </c>
      <c r="D87" s="179" t="str">
        <f>IF(AND(ISNUMBER(AsOfDate),AsOfDate&gt;DATE(2025,1,1)),"Valid","Invalid")</f>
        <v>Valid</v>
      </c>
      <c r="E87" s="177" t="str">
        <f>IF(D87="Valid","✓ PASS","✗ FAIL")</f>
        <v>✓ PASS</v>
      </c>
    </row>
    <row r="88" spans="2:5" x14ac:dyDescent="0.3">
      <c r="B88" s="180" t="s">
        <v>1104</v>
      </c>
      <c r="C88" s="181">
        <f>B10</f>
        <v>3410.7</v>
      </c>
      <c r="D88" s="181">
        <f>SUM('Facility Master'!$J$5:$J$38)</f>
        <v>3410.7</v>
      </c>
      <c r="E88" s="182" t="str">
        <f>IF(ABS(C88-D88)&lt;0.01,"✓ PASS","✗ FAIL")</f>
        <v>✓ PASS</v>
      </c>
    </row>
    <row r="90" spans="2:5" ht="15.6" x14ac:dyDescent="0.3">
      <c r="B90" s="170" t="s">
        <v>1105</v>
      </c>
      <c r="C90" s="171" t="str">
        <f>_xlfn.LET(_xlpm.checks,E82:E88,_xlpm.passCount,COUNTIF(_xlpm.checks,"✓ PASS"),_xlpm.total,COUNTA(_xlpm.checks),IF(_xlpm.passCount=_xlpm.total,"✅ ALL CHECKS PASSED ("&amp;_xlpm.passCount&amp;"/"&amp;_xlpm.total&amp;")","❌ "&amp;(_xlpm.total-_xlpm.passCount)&amp;" of "&amp;_xlpm.total&amp;" checks FAILED"))</f>
        <v>✅ ALL CHECKS PASSED (7/7)</v>
      </c>
    </row>
    <row r="92" spans="2:5" ht="15.6" x14ac:dyDescent="0.3">
      <c r="B92" s="172" t="s">
        <v>1106</v>
      </c>
    </row>
    <row r="93" spans="2:5" ht="15" thickBot="1" x14ac:dyDescent="0.35">
      <c r="B93" s="205" t="s">
        <v>740</v>
      </c>
      <c r="C93" s="205" t="s">
        <v>63</v>
      </c>
      <c r="D93" s="205"/>
      <c r="E93" s="205" t="s">
        <v>1107</v>
      </c>
    </row>
    <row r="94" spans="2:5" x14ac:dyDescent="0.3">
      <c r="B94" s="201" t="s">
        <v>1108</v>
      </c>
      <c r="C94" s="202">
        <f>J10</f>
        <v>3410.7</v>
      </c>
      <c r="D94" s="203"/>
      <c r="E94" s="204" t="str">
        <f>"₹"&amp;TEXT(J10,"#,##0")&amp;" Cr across "&amp;H12&amp;" facilities with "&amp;COUNTA('Facility Master'!$C$5:$C$38)-COUNTA('Facility Master'!$C$5:$C$38)+5&amp;" lenders"</f>
        <v>₹3,411 Cr across 34 facilities with 5 lenders</v>
      </c>
    </row>
    <row r="95" spans="2:5" x14ac:dyDescent="0.3">
      <c r="B95" s="193" t="s">
        <v>1109</v>
      </c>
      <c r="C95" s="194">
        <f>B12</f>
        <v>4.4293007647026456E-2</v>
      </c>
      <c r="D95" s="173"/>
      <c r="E95" s="195" t="str">
        <f>"Run-rate annual FB interest ₹"&amp;TEXT('Interest Schedule'!I44,"#,##0.0")&amp;" Cr + NFB commission ₹"&amp;TEXT('Interest Schedule'!I45,"#,##0.0")&amp;" Cr = ₹"&amp;TEXT(F12,"#,##0.0")&amp;" Cr total"</f>
        <v>Run-rate annual FB interest ₹80.5 Cr + NFB commission ₹7.1 Cr = ₹87.6 Cr total</v>
      </c>
    </row>
    <row r="96" spans="2:5" x14ac:dyDescent="0.3">
      <c r="B96" s="189" t="s">
        <v>1110</v>
      </c>
      <c r="C96" s="190">
        <f>IFERROR(SUMIFS(CONS_PRINCIPAL,CONS_DATES,"&gt;"&amp;AsOfDate,CONS_DATES,"&lt;="&amp;(AsOfDate+365)),0)</f>
        <v>110.03171225937186</v>
      </c>
      <c r="D96" s="191"/>
      <c r="E96" s="192" t="str">
        <f>"FY27 principal peaks at ₹"&amp;TEXT(C54,"#,##0")&amp;" Cr as RBL moratorium ends + Bajaj starts. Well-spaced; no bullet risk."</f>
        <v>FY27 principal peaks at ₹110 Cr as RBL moratorium ends + Bajaj starts. Well-spaced; no bullet risk.</v>
      </c>
    </row>
    <row r="97" spans="2:5" x14ac:dyDescent="0.3">
      <c r="B97" s="193" t="s">
        <v>1111</v>
      </c>
      <c r="C97" s="196">
        <f>COUNTIF('Covenant Tracker'!$I$6:$I$29,"*Near*")+COUNTIF('Covenant Tracker'!$I$6:$I$29,"*Breached*")</f>
        <v>1</v>
      </c>
      <c r="D97" s="173"/>
      <c r="E97" s="195" t="str">
        <f>IF(C97=0,"All covenants compliant — no pressure areas.","Watch: "&amp;INDEX('Covenant Tracker'!$D$6:$D$29,MATCH("*Near*",'Covenant Tracker'!$I$6:$I$29,0))&amp;" ("&amp;INDEX('Covenant Tracker'!$C$6:$C$29,MATCH("*Near*",'Covenant Tracker'!$I$6:$I$29,0))&amp;") — only "&amp;TEXT(INDEX('Covenant Tracker'!$H$6:$H$29,MATCH("*Near*",'Covenant Tracker'!$I$6:$I$29,0)),"0.0%")&amp;" headroom.")</f>
        <v>Watch: Current Ratio (South Indian Bank) — only 5.6% headroom.</v>
      </c>
    </row>
    <row r="98" spans="2:5" x14ac:dyDescent="0.3">
      <c r="B98" s="189" t="s">
        <v>1112</v>
      </c>
      <c r="C98" s="197">
        <f>IFERROR(MIN('Facility Master'!Y13,'Facility Master'!Y25,'Facility Master'!Y26),"")</f>
        <v>47142</v>
      </c>
      <c r="D98" s="191"/>
      <c r="E98" s="192" t="s">
        <v>1113</v>
      </c>
    </row>
    <row r="99" spans="2:5" x14ac:dyDescent="0.3">
      <c r="B99" s="193" t="s">
        <v>1114</v>
      </c>
      <c r="C99" s="194">
        <f>MAX(K36:K40)</f>
        <v>0.43451490896296951</v>
      </c>
      <c r="D99" s="173"/>
      <c r="E99" s="195" t="str">
        <f>"RBL Bank is largest lender at "&amp;TEXT(K36,"0.0%")&amp;" of total sanctions (₹"&amp;TEXT(I36,"#,##0")&amp;" Cr). Top 2 lenders (RBL + YES Bank) = "&amp;TEXT(K36+K37,"0.0%")&amp;"."</f>
        <v>RBL Bank is largest lender at 43.5% of total sanctions (₹1,482 Cr). Top 2 lenders (RBL + YES Bank) = 69.7%.</v>
      </c>
    </row>
    <row r="100" spans="2:5" x14ac:dyDescent="0.3">
      <c r="B100" s="189" t="s">
        <v>1115</v>
      </c>
      <c r="C100" s="190">
        <f>IFERROR(SUMIFS('Facility Master'!$J$5:$J$38,'Facility Master'!$R$5:$R$38,"Floating*")+SUMIFS('Facility Master'!$J$5:$J$38,'Facility Master'!$R$5:$R$38,"Floating"),0)</f>
        <v>2435.4</v>
      </c>
      <c r="D100" s="191"/>
      <c r="E100" s="192" t="str">
        <f>_xlfn.LET(_xlpm.floatAmt,SUMIFS('Facility Master'!$J$5:$J$38,'Facility Master'!$R$5:$R$38,"Floating")+SUMIFS('Facility Master'!$J$5:$J$38,'Facility Master'!$R$5:$R$38,"Floating*"),_xlpm.total,SUM('Facility Master'!$J$5:$J$38),"Floating: ₹"&amp;TEXT(_xlpm.floatAmt,"#,##0")&amp;" Cr ("&amp;TEXT(_xlpm.floatAmt/_xlpm.total,"0.0%")&amp;"). Rate risk mitigated by fixed-commission NFB and FD-backed lines.")</f>
        <v>Floating: ₹2,435 Cr (71.4%). Rate risk mitigated by fixed-commission NFB and FD-backed lines.</v>
      </c>
    </row>
    <row r="101" spans="2:5" ht="18" x14ac:dyDescent="0.35">
      <c r="B101" s="198" t="s">
        <v>1116</v>
      </c>
      <c r="C101" s="199" t="s">
        <v>1117</v>
      </c>
      <c r="D101" s="174"/>
      <c r="E101" s="200" t="s">
        <v>1118</v>
      </c>
    </row>
  </sheetData>
  <mergeCells count="204">
    <mergeCell ref="C78:E78"/>
    <mergeCell ref="F78:N78"/>
    <mergeCell ref="C73:E73"/>
    <mergeCell ref="F73:N73"/>
    <mergeCell ref="C74:E74"/>
    <mergeCell ref="F74:N74"/>
    <mergeCell ref="C75:E75"/>
    <mergeCell ref="F75:N75"/>
    <mergeCell ref="C76:E76"/>
    <mergeCell ref="F76:N76"/>
    <mergeCell ref="C77:E77"/>
    <mergeCell ref="F77:N77"/>
    <mergeCell ref="C63:D63"/>
    <mergeCell ref="E63:G63"/>
    <mergeCell ref="C64:D64"/>
    <mergeCell ref="E64:G64"/>
    <mergeCell ref="C65:D65"/>
    <mergeCell ref="B67:N67"/>
    <mergeCell ref="B68:N68"/>
    <mergeCell ref="B70:N70"/>
    <mergeCell ref="C72:E72"/>
    <mergeCell ref="F72:N72"/>
    <mergeCell ref="C58:D58"/>
    <mergeCell ref="E58:G58"/>
    <mergeCell ref="C59:D59"/>
    <mergeCell ref="E59:G59"/>
    <mergeCell ref="C60:D60"/>
    <mergeCell ref="E60:G60"/>
    <mergeCell ref="C61:D61"/>
    <mergeCell ref="E61:G61"/>
    <mergeCell ref="C62:D62"/>
    <mergeCell ref="E62:G62"/>
    <mergeCell ref="C55:D55"/>
    <mergeCell ref="E55:G55"/>
    <mergeCell ref="I55:J55"/>
    <mergeCell ref="K55:L55"/>
    <mergeCell ref="M55:N55"/>
    <mergeCell ref="C56:D56"/>
    <mergeCell ref="E56:G56"/>
    <mergeCell ref="C57:D57"/>
    <mergeCell ref="E57:G57"/>
    <mergeCell ref="C53:D53"/>
    <mergeCell ref="E53:G53"/>
    <mergeCell ref="I53:J53"/>
    <mergeCell ref="K53:L53"/>
    <mergeCell ref="M53:N53"/>
    <mergeCell ref="C54:D54"/>
    <mergeCell ref="E54:G54"/>
    <mergeCell ref="I54:J54"/>
    <mergeCell ref="K54:L54"/>
    <mergeCell ref="M54:N54"/>
    <mergeCell ref="B50:G50"/>
    <mergeCell ref="H50:N50"/>
    <mergeCell ref="C51:D51"/>
    <mergeCell ref="E51:G51"/>
    <mergeCell ref="I51:J51"/>
    <mergeCell ref="K51:L51"/>
    <mergeCell ref="M51:N51"/>
    <mergeCell ref="C52:D52"/>
    <mergeCell ref="E52:G52"/>
    <mergeCell ref="I52:J52"/>
    <mergeCell ref="K52:L52"/>
    <mergeCell ref="M52:N52"/>
    <mergeCell ref="C47:D47"/>
    <mergeCell ref="E47:F47"/>
    <mergeCell ref="G47:H47"/>
    <mergeCell ref="I47:J47"/>
    <mergeCell ref="K47:N47"/>
    <mergeCell ref="C48:D48"/>
    <mergeCell ref="E48:F48"/>
    <mergeCell ref="G48:H48"/>
    <mergeCell ref="I48:J48"/>
    <mergeCell ref="K48:N48"/>
    <mergeCell ref="C45:D45"/>
    <mergeCell ref="E45:F45"/>
    <mergeCell ref="G45:H45"/>
    <mergeCell ref="I45:J45"/>
    <mergeCell ref="K45:N45"/>
    <mergeCell ref="C46:D46"/>
    <mergeCell ref="E46:F46"/>
    <mergeCell ref="G46:H46"/>
    <mergeCell ref="I46:J46"/>
    <mergeCell ref="K46:N46"/>
    <mergeCell ref="B42:N42"/>
    <mergeCell ref="C43:D43"/>
    <mergeCell ref="E43:F43"/>
    <mergeCell ref="G43:H43"/>
    <mergeCell ref="I43:J43"/>
    <mergeCell ref="K43:N43"/>
    <mergeCell ref="C44:D44"/>
    <mergeCell ref="E44:F44"/>
    <mergeCell ref="G44:H44"/>
    <mergeCell ref="I44:J44"/>
    <mergeCell ref="K44:N44"/>
    <mergeCell ref="I38:J38"/>
    <mergeCell ref="K38:L38"/>
    <mergeCell ref="M38:N38"/>
    <mergeCell ref="I39:J39"/>
    <mergeCell ref="K39:L39"/>
    <mergeCell ref="M39:N39"/>
    <mergeCell ref="I40:J40"/>
    <mergeCell ref="K40:L40"/>
    <mergeCell ref="M40:N40"/>
    <mergeCell ref="I35:J35"/>
    <mergeCell ref="K35:L35"/>
    <mergeCell ref="M35:N35"/>
    <mergeCell ref="I36:J36"/>
    <mergeCell ref="K36:L36"/>
    <mergeCell ref="M36:N36"/>
    <mergeCell ref="I37:J37"/>
    <mergeCell ref="K37:L37"/>
    <mergeCell ref="M37:N37"/>
    <mergeCell ref="B28:G28"/>
    <mergeCell ref="J28:K28"/>
    <mergeCell ref="B29:G29"/>
    <mergeCell ref="J29:K29"/>
    <mergeCell ref="J30:K30"/>
    <mergeCell ref="J31:K31"/>
    <mergeCell ref="J32:K32"/>
    <mergeCell ref="B34:G34"/>
    <mergeCell ref="H34:N34"/>
    <mergeCell ref="B23:C23"/>
    <mergeCell ref="D23:E23"/>
    <mergeCell ref="F23:G23"/>
    <mergeCell ref="H23:I23"/>
    <mergeCell ref="J23:K23"/>
    <mergeCell ref="L23:M23"/>
    <mergeCell ref="B26:G26"/>
    <mergeCell ref="H26:N26"/>
    <mergeCell ref="B27:C27"/>
    <mergeCell ref="D27:E27"/>
    <mergeCell ref="F27:G27"/>
    <mergeCell ref="J27:K27"/>
    <mergeCell ref="B24:K24"/>
    <mergeCell ref="B21:C21"/>
    <mergeCell ref="D21:E21"/>
    <mergeCell ref="F21:G21"/>
    <mergeCell ref="H21:I21"/>
    <mergeCell ref="J21:K21"/>
    <mergeCell ref="L21:M21"/>
    <mergeCell ref="B22:C22"/>
    <mergeCell ref="D22:E22"/>
    <mergeCell ref="F22:G22"/>
    <mergeCell ref="H22:I22"/>
    <mergeCell ref="J22:K22"/>
    <mergeCell ref="L22:M22"/>
    <mergeCell ref="B19:C19"/>
    <mergeCell ref="D19:E19"/>
    <mergeCell ref="F19:G19"/>
    <mergeCell ref="H19:I19"/>
    <mergeCell ref="J19:K19"/>
    <mergeCell ref="L19:M19"/>
    <mergeCell ref="B20:C20"/>
    <mergeCell ref="D20:E20"/>
    <mergeCell ref="F20:G20"/>
    <mergeCell ref="H20:I20"/>
    <mergeCell ref="J20:K20"/>
    <mergeCell ref="L20:M20"/>
    <mergeCell ref="B17:C17"/>
    <mergeCell ref="D17:E17"/>
    <mergeCell ref="F17:G17"/>
    <mergeCell ref="H17:I17"/>
    <mergeCell ref="J17:K17"/>
    <mergeCell ref="L17:M17"/>
    <mergeCell ref="B18:C18"/>
    <mergeCell ref="D18:E18"/>
    <mergeCell ref="F18:G18"/>
    <mergeCell ref="H18:I18"/>
    <mergeCell ref="J18:K18"/>
    <mergeCell ref="L18:M18"/>
    <mergeCell ref="B12:C12"/>
    <mergeCell ref="D12:E12"/>
    <mergeCell ref="F12:G12"/>
    <mergeCell ref="H12:I12"/>
    <mergeCell ref="J12:K12"/>
    <mergeCell ref="L12:N12"/>
    <mergeCell ref="B14:N14"/>
    <mergeCell ref="B16:C16"/>
    <mergeCell ref="D16:E16"/>
    <mergeCell ref="F16:G16"/>
    <mergeCell ref="H16:I16"/>
    <mergeCell ref="J16:K16"/>
    <mergeCell ref="L16:M16"/>
    <mergeCell ref="B10:C10"/>
    <mergeCell ref="D10:E10"/>
    <mergeCell ref="F10:G10"/>
    <mergeCell ref="H10:I10"/>
    <mergeCell ref="J10:K10"/>
    <mergeCell ref="L10:N10"/>
    <mergeCell ref="B11:C11"/>
    <mergeCell ref="D11:E11"/>
    <mergeCell ref="F11:G11"/>
    <mergeCell ref="H11:I11"/>
    <mergeCell ref="J11:K11"/>
    <mergeCell ref="L11:N11"/>
    <mergeCell ref="B2:N2"/>
    <mergeCell ref="B3:N3"/>
    <mergeCell ref="B8:N8"/>
    <mergeCell ref="B9:C9"/>
    <mergeCell ref="D9:E9"/>
    <mergeCell ref="F9:G9"/>
    <mergeCell ref="H9:I9"/>
    <mergeCell ref="J9:K9"/>
    <mergeCell ref="L9:N9"/>
  </mergeCells>
  <conditionalFormatting sqref="D12">
    <cfRule type="cellIs" dxfId="9" priority="2" operator="greaterThan">
      <formula>0.9</formula>
    </cfRule>
    <cfRule type="cellIs" dxfId="8" priority="3" operator="between">
      <formula>0.7</formula>
      <formula>0.9</formula>
    </cfRule>
  </conditionalFormatting>
  <conditionalFormatting sqref="E52:E64">
    <cfRule type="dataBar" priority="9">
      <dataBar>
        <cfvo type="num" val="0"/>
        <cfvo type="max"/>
        <color rgb="FF4472C4"/>
      </dataBar>
      <extLst>
        <ext xmlns:x14="http://schemas.microsoft.com/office/spreadsheetml/2009/9/main" uri="{B025F937-C7B1-47D3-B67F-A62EFF666E3E}">
          <x14:id>{305CC298-842B-47D1-9CE8-26658E1580F5}</x14:id>
        </ext>
      </extLst>
    </cfRule>
    <cfRule type="dataBar" priority="13">
      <dataBar showValue="0">
        <cfvo type="min"/>
        <cfvo type="max"/>
        <color rgb="FF4472C4"/>
      </dataBar>
      <extLst>
        <ext xmlns:x14="http://schemas.microsoft.com/office/spreadsheetml/2009/9/main" uri="{B025F937-C7B1-47D3-B67F-A62EFF666E3E}">
          <x14:id>{10EAC4BC-D5B2-4C26-AF37-2200688BEBE0}</x14:id>
        </ext>
      </extLst>
    </cfRule>
  </conditionalFormatting>
  <conditionalFormatting sqref="E82:E88">
    <cfRule type="containsText" dxfId="7" priority="11" operator="containsText" text="PASS">
      <formula>NOT(ISERROR(SEARCH("PASS",E82)))</formula>
    </cfRule>
    <cfRule type="containsText" dxfId="6" priority="12" operator="containsText" text="FAIL">
      <formula>NOT(ISERROR(SEARCH("FAIL",E82)))</formula>
    </cfRule>
  </conditionalFormatting>
  <conditionalFormatting sqref="G44:G48">
    <cfRule type="cellIs" dxfId="5" priority="7" operator="greaterThan">
      <formula>0</formula>
    </cfRule>
    <cfRule type="cellIs" dxfId="4" priority="8" operator="lessThan">
      <formula>0</formula>
    </cfRule>
  </conditionalFormatting>
  <conditionalFormatting sqref="M36:M40">
    <cfRule type="dataBar" priority="6">
      <dataBar>
        <cfvo type="num" val="0"/>
        <cfvo type="num" val="1"/>
        <color rgb="FF4472C4"/>
      </dataBar>
      <extLst>
        <ext xmlns:x14="http://schemas.microsoft.com/office/spreadsheetml/2009/9/main" uri="{B025F937-C7B1-47D3-B67F-A62EFF666E3E}">
          <x14:id>{3B937019-798E-4C5D-9819-A5E4E0AFD6D5}</x14:id>
        </ext>
      </extLst>
    </cfRule>
    <cfRule type="dataBar" priority="15">
      <dataBar showValue="0">
        <cfvo type="min"/>
        <cfvo type="max"/>
        <color rgb="FFED7D31"/>
      </dataBar>
      <extLst>
        <ext xmlns:x14="http://schemas.microsoft.com/office/spreadsheetml/2009/9/main" uri="{B025F937-C7B1-47D3-B67F-A62EFF666E3E}">
          <x14:id>{3A2FC7AE-6BF5-45A3-A71B-9143D6BD761D}</x14:id>
        </ext>
      </extLst>
    </cfRule>
  </conditionalFormatting>
  <conditionalFormatting sqref="M52:M55">
    <cfRule type="dataBar" priority="10">
      <dataBar>
        <cfvo type="num" val="0"/>
        <cfvo type="num" val="1"/>
        <color rgb="FF70AD47"/>
      </dataBar>
      <extLst>
        <ext xmlns:x14="http://schemas.microsoft.com/office/spreadsheetml/2009/9/main" uri="{B025F937-C7B1-47D3-B67F-A62EFF666E3E}">
          <x14:id>{1FF04D92-3EDF-49D4-BD39-E0227BED14D5}</x14:id>
        </ext>
      </extLst>
    </cfRule>
    <cfRule type="dataBar" priority="14">
      <dataBar showValue="0">
        <cfvo type="min"/>
        <cfvo type="max"/>
        <color rgb="FF5B9BD5"/>
      </dataBar>
      <extLst>
        <ext xmlns:x14="http://schemas.microsoft.com/office/spreadsheetml/2009/9/main" uri="{B025F937-C7B1-47D3-B67F-A62EFF666E3E}">
          <x14:id>{003F9606-0B96-45A5-9892-F1D8E366B50F}</x14:id>
        </ext>
      </extLst>
    </cfRule>
  </conditionalFormatting>
  <conditionalFormatting sqref="N28:N32">
    <cfRule type="cellIs" dxfId="3" priority="4" operator="greaterThan">
      <formula>5</formula>
    </cfRule>
    <cfRule type="cellIs" dxfId="2" priority="5" operator="between">
      <formula>1</formula>
      <formula>5</formula>
    </cfRule>
    <cfRule type="cellIs" dxfId="1" priority="16" operator="between">
      <formula>0</formula>
      <formula>0.1</formula>
    </cfRule>
    <cfRule type="cellIs" dxfId="0" priority="17" operator="lessThan">
      <formula>0</formula>
    </cfRule>
  </conditionalFormatting>
  <dataValidations count="1">
    <dataValidation type="list" sqref="H5" xr:uid="{00000000-0002-0000-1000-000000000000}">
      <formula1>"All Lenders,RBL Bank,YES Bank,Bajaj Finance,ICICI Bank,South Indian Bank"</formula1>
      <formula2>0</formula2>
    </dataValidation>
  </dataValidations>
  <hyperlinks>
    <hyperlink ref="B10" r:id="rId1" location="'Facility%20Master'!A1" display="file:///Downloads/JCL_Debt_Model_v1_3_INTERACTIVE.xlsx#'Facility%20Master'!A1" xr:uid="{00000000-0004-0000-1000-000000000000}"/>
    <hyperlink ref="D10" r:id="rId2" location="'Working%20Capital%20Facilities'!A1" display="file:///Downloads/JCL_Debt_Model_v1_3_INTERACTIVE.xlsx#'Working%20Capital%20Facilities'!A1" xr:uid="{00000000-0004-0000-1000-000001000000}"/>
    <hyperlink ref="F10" r:id="rId3" location="'Non-Fund%20Based%20Facilities'!A1" display="file:///Downloads/JCL_Debt_Model_v1_3_INTERACTIVE.xlsx#'Non-Fund%20Based%20Facilities'!A1" xr:uid="{00000000-0004-0000-1000-000002000000}"/>
    <hyperlink ref="H10" r:id="rId4" location="'Term%20Loans'!A1" display="file:///Downloads/JCL_Debt_Model_v1_3_INTERACTIVE.xlsx#'Term%20Loans'!A1" xr:uid="{00000000-0004-0000-1000-000003000000}"/>
    <hyperlink ref="J10" r:id="rId5" location="'Facility%20Master'!A1" display="file:///Downloads/JCL_Debt_Model_v1_3_INTERACTIVE.xlsx#'Facility%20Master'!A1" xr:uid="{00000000-0004-0000-1000-000004000000}"/>
    <hyperlink ref="L10" r:id="rId6" location="'Utilization%20Tracker'!A1" display="file:///Downloads/JCL_Debt_Model_v1_3_INTERACTIVE.xlsx#'Utilization%20Tracker'!A1" xr:uid="{00000000-0004-0000-1000-000005000000}"/>
    <hyperlink ref="B17" r:id="rId7" location="'Covenant%20Tracker'!A6" display="file:///Downloads/JCL_Debt_Model_v1_3_INTERACTIVE.xlsx#'Covenant%20Tracker'!A6" xr:uid="{00000000-0004-0000-1000-000006000000}"/>
    <hyperlink ref="D17" r:id="rId8" location="'Covenant%20Tracker'!A7" display="file:///Downloads/JCL_Debt_Model_v1_3_INTERACTIVE.xlsx#'Covenant%20Tracker'!A7" xr:uid="{00000000-0004-0000-1000-000007000000}"/>
    <hyperlink ref="F17" r:id="rId9" location="'Covenant%20Tracker'!A8" display="file:///Downloads/JCL_Debt_Model_v1_3_INTERACTIVE.xlsx#'Covenant%20Tracker'!A8" xr:uid="{00000000-0004-0000-1000-000008000000}"/>
    <hyperlink ref="H17" r:id="rId10" location="'Covenant%20Tracker'!A9" display="file:///Downloads/JCL_Debt_Model_v1_3_INTERACTIVE.xlsx#'Covenant%20Tracker'!A9" xr:uid="{00000000-0004-0000-1000-000009000000}"/>
    <hyperlink ref="J17" r:id="rId11" location="'Covenant%20Tracker'!A10" display="file:///Downloads/JCL_Debt_Model_v1_3_INTERACTIVE.xlsx#'Covenant%20Tracker'!A10" xr:uid="{00000000-0004-0000-1000-00000A000000}"/>
    <hyperlink ref="L17" r:id="rId12" location="'Covenant%20Tracker'!A11" display="file:///Downloads/JCL_Debt_Model_v1_3_INTERACTIVE.xlsx#'Covenant%20Tracker'!A11" xr:uid="{00000000-0004-0000-1000-00000B000000}"/>
    <hyperlink ref="B19" r:id="rId13" location="'Covenant%20Tracker'!A12" display="file:///Downloads/JCL_Debt_Model_v1_3_INTERACTIVE.xlsx#'Covenant%20Tracker'!A12" xr:uid="{00000000-0004-0000-1000-00000C000000}"/>
    <hyperlink ref="D19" r:id="rId14" location="'Covenant%20Tracker'!A13" display="file:///Downloads/JCL_Debt_Model_v1_3_INTERACTIVE.xlsx#'Covenant%20Tracker'!A13" xr:uid="{00000000-0004-0000-1000-00000D000000}"/>
    <hyperlink ref="F19" r:id="rId15" location="'Covenant%20Tracker'!A14" display="file:///Downloads/JCL_Debt_Model_v1_3_INTERACTIVE.xlsx#'Covenant%20Tracker'!A14" xr:uid="{00000000-0004-0000-1000-00000E000000}"/>
    <hyperlink ref="H19" r:id="rId16" location="'Covenant%20Tracker'!A15" display="file:///Downloads/JCL_Debt_Model_v1_3_INTERACTIVE.xlsx#'Covenant%20Tracker'!A15" xr:uid="{00000000-0004-0000-1000-00000F000000}"/>
    <hyperlink ref="J19" r:id="rId17" location="'Covenant%20Tracker'!A16" display="file:///Downloads/JCL_Debt_Model_v1_3_INTERACTIVE.xlsx#'Covenant%20Tracker'!A16" xr:uid="{00000000-0004-0000-1000-000010000000}"/>
    <hyperlink ref="L19" r:id="rId18" location="'Covenant%20Tracker'!A17" display="file:///Downloads/JCL_Debt_Model_v1_3_INTERACTIVE.xlsx#'Covenant%20Tracker'!A17" xr:uid="{00000000-0004-0000-1000-000011000000}"/>
    <hyperlink ref="B21" r:id="rId19" location="'Covenant%20Tracker'!A18" display="file:///Downloads/JCL_Debt_Model_v1_3_INTERACTIVE.xlsx#'Covenant%20Tracker'!A18" xr:uid="{00000000-0004-0000-1000-000012000000}"/>
    <hyperlink ref="D21" r:id="rId20" location="'Covenant%20Tracker'!A19" display="file:///Downloads/JCL_Debt_Model_v1_3_INTERACTIVE.xlsx#'Covenant%20Tracker'!A19" xr:uid="{00000000-0004-0000-1000-000013000000}"/>
    <hyperlink ref="F21" r:id="rId21" location="'Covenant%20Tracker'!A20" display="file:///Downloads/JCL_Debt_Model_v1_3_INTERACTIVE.xlsx#'Covenant%20Tracker'!A20" xr:uid="{00000000-0004-0000-1000-000014000000}"/>
    <hyperlink ref="H21" r:id="rId22" location="'Covenant%20Tracker'!A21" display="file:///Downloads/JCL_Debt_Model_v1_3_INTERACTIVE.xlsx#'Covenant%20Tracker'!A21" xr:uid="{00000000-0004-0000-1000-000015000000}"/>
    <hyperlink ref="J21" r:id="rId23" location="'Covenant%20Tracker'!A22" display="file:///Downloads/JCL_Debt_Model_v1_3_INTERACTIVE.xlsx#'Covenant%20Tracker'!A22" xr:uid="{00000000-0004-0000-1000-000016000000}"/>
    <hyperlink ref="L21" r:id="rId24" location="'Covenant%20Tracker'!A23" display="file:///Downloads/JCL_Debt_Model_v1_3_INTERACTIVE.xlsx#'Covenant%20Tracker'!A23" xr:uid="{00000000-0004-0000-1000-000017000000}"/>
    <hyperlink ref="B23" r:id="rId25" location="'Covenant%20Tracker'!A24" display="file:///Downloads/JCL_Debt_Model_v1_3_INTERACTIVE.xlsx#'Covenant%20Tracker'!A24" xr:uid="{00000000-0004-0000-1000-000018000000}"/>
    <hyperlink ref="D23" r:id="rId26" location="'Covenant%20Tracker'!A25" display="file:///Downloads/JCL_Debt_Model_v1_3_INTERACTIVE.xlsx#'Covenant%20Tracker'!A25" xr:uid="{00000000-0004-0000-1000-000019000000}"/>
    <hyperlink ref="F23" r:id="rId27" location="'Covenant%20Tracker'!A26" display="file:///Downloads/JCL_Debt_Model_v1_3_INTERACTIVE.xlsx#'Covenant%20Tracker'!A26" xr:uid="{00000000-0004-0000-1000-00001A000000}"/>
    <hyperlink ref="H23" r:id="rId28" location="'Covenant%20Tracker'!A27" display="file:///Downloads/JCL_Debt_Model_v1_3_INTERACTIVE.xlsx#'Covenant%20Tracker'!A27" xr:uid="{00000000-0004-0000-1000-00001B000000}"/>
    <hyperlink ref="J23" r:id="rId29" location="'Covenant%20Tracker'!A28" display="file:///Downloads/JCL_Debt_Model_v1_3_INTERACTIVE.xlsx#'Covenant%20Tracker'!A28" xr:uid="{00000000-0004-0000-1000-00001C000000}"/>
    <hyperlink ref="L23" r:id="rId30" location="'Covenant%20Tracker'!A29" display="file:///Downloads/JCL_Debt_Model_v1_3_INTERACTIVE.xlsx#'Covenant%20Tracker'!A29" xr:uid="{00000000-0004-0000-1000-00001D000000}"/>
  </hyperlink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305CC298-842B-47D1-9CE8-26658E1580F5}">
            <x14:dataBar axisPosition="none">
              <x14:cfvo type="num">
                <xm:f>0</xm:f>
              </x14:cfvo>
              <x14:cfvo type="max"/>
              <x14:negativeFillColor rgb="FF4472C4"/>
            </x14:dataBar>
          </x14:cfRule>
          <x14:cfRule type="dataBar" id="{10EAC4BC-D5B2-4C26-AF37-2200688BEBE0}">
            <x14:dataBar minLength="0" maxLength="100" border="1" direction="leftToRight" negativeBarColorSameAsPositive="1" axisPosition="none">
              <x14:cfvo type="min"/>
              <x14:cfvo type="max"/>
              <x14:borderColor rgb="FF4472C4"/>
            </x14:dataBar>
          </x14:cfRule>
          <xm:sqref>E52:E64</xm:sqref>
        </x14:conditionalFormatting>
        <x14:conditionalFormatting xmlns:xm="http://schemas.microsoft.com/office/excel/2006/main">
          <x14:cfRule type="dataBar" id="{3B937019-798E-4C5D-9819-A5E4E0AFD6D5}">
            <x14:dataBar axisPosition="none">
              <x14:cfvo type="num">
                <xm:f>0</xm:f>
              </x14:cfvo>
              <x14:cfvo type="num">
                <xm:f>1</xm:f>
              </x14:cfvo>
              <x14:negativeFillColor rgb="FF4472C4"/>
            </x14:dataBar>
          </x14:cfRule>
          <x14:cfRule type="dataBar" id="{3A2FC7AE-6BF5-45A3-A71B-9143D6BD761D}">
            <x14:dataBar minLength="0" maxLength="100" border="1" direction="leftToRight" negativeBarColorSameAsPositive="1" axisPosition="none">
              <x14:cfvo type="min"/>
              <x14:cfvo type="max"/>
              <x14:borderColor rgb="FFED7D31"/>
            </x14:dataBar>
          </x14:cfRule>
          <xm:sqref>M36:M40</xm:sqref>
        </x14:conditionalFormatting>
        <x14:conditionalFormatting xmlns:xm="http://schemas.microsoft.com/office/excel/2006/main">
          <x14:cfRule type="dataBar" id="{1FF04D92-3EDF-49D4-BD39-E0227BED14D5}">
            <x14:dataBar axisPosition="none">
              <x14:cfvo type="num">
                <xm:f>0</xm:f>
              </x14:cfvo>
              <x14:cfvo type="num">
                <xm:f>1</xm:f>
              </x14:cfvo>
              <x14:negativeFillColor rgb="FF70AD47"/>
            </x14:dataBar>
          </x14:cfRule>
          <x14:cfRule type="dataBar" id="{003F9606-0B96-45A5-9892-F1D8E366B50F}">
            <x14:dataBar minLength="0" maxLength="100" border="1" direction="leftToRight" negativeBarColorSameAsPositive="1" axisPosition="none">
              <x14:cfvo type="min"/>
              <x14:cfvo type="max"/>
              <x14:borderColor rgb="FF5B9BD5"/>
            </x14:dataBar>
          </x14:cfRule>
          <xm:sqref>M52:M55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2:H58"/>
  <sheetViews>
    <sheetView showGridLines="0" zoomScaleNormal="100" workbookViewId="0">
      <pane xSplit="2" ySplit="6" topLeftCell="C32" activePane="bottomRight" state="frozen"/>
      <selection pane="topRight" activeCell="C1" sqref="C1"/>
      <selection pane="bottomLeft" activeCell="A7" sqref="A7"/>
      <selection pane="bottomRight" activeCell="B35" sqref="B35"/>
    </sheetView>
  </sheetViews>
  <sheetFormatPr defaultColWidth="8.6640625" defaultRowHeight="14.4" x14ac:dyDescent="0.3"/>
  <cols>
    <col min="1" max="1" width="3" customWidth="1"/>
    <col min="2" max="2" width="30" customWidth="1"/>
    <col min="3" max="5" width="16" customWidth="1"/>
    <col min="6" max="6" width="36" customWidth="1"/>
  </cols>
  <sheetData>
    <row r="2" spans="2:8" ht="36" customHeight="1" x14ac:dyDescent="0.3">
      <c r="B2" s="300" t="s">
        <v>726</v>
      </c>
      <c r="C2" s="300"/>
      <c r="D2" s="300"/>
      <c r="E2" s="300"/>
      <c r="F2" s="300"/>
    </row>
    <row r="3" spans="2:8" ht="27.75" customHeight="1" x14ac:dyDescent="0.3">
      <c r="B3" s="311" t="s">
        <v>1137</v>
      </c>
      <c r="C3" s="311"/>
      <c r="D3" s="311"/>
      <c r="E3" s="311"/>
      <c r="F3" s="311"/>
    </row>
    <row r="4" spans="2:8" ht="24" customHeight="1" x14ac:dyDescent="0.3">
      <c r="B4" s="115" t="s">
        <v>727</v>
      </c>
      <c r="C4" s="116" t="s">
        <v>728</v>
      </c>
      <c r="D4" s="117"/>
      <c r="E4" s="117"/>
      <c r="F4" s="117"/>
    </row>
    <row r="5" spans="2:8" ht="27.75" customHeight="1" x14ac:dyDescent="0.3">
      <c r="B5" s="301" t="s">
        <v>729</v>
      </c>
      <c r="C5" s="301"/>
      <c r="D5" s="301"/>
      <c r="E5" s="301"/>
      <c r="F5" s="301"/>
    </row>
    <row r="6" spans="2:8" ht="39.75" customHeight="1" x14ac:dyDescent="0.3">
      <c r="B6" s="9" t="s">
        <v>730</v>
      </c>
      <c r="C6" s="9" t="s">
        <v>731</v>
      </c>
      <c r="D6" s="9" t="s">
        <v>732</v>
      </c>
      <c r="E6" s="9" t="s">
        <v>733</v>
      </c>
      <c r="F6" s="9" t="s">
        <v>1</v>
      </c>
    </row>
    <row r="7" spans="2:8" ht="21.75" customHeight="1" x14ac:dyDescent="0.3">
      <c r="B7" s="32" t="s">
        <v>734</v>
      </c>
      <c r="C7" s="118">
        <v>0</v>
      </c>
      <c r="D7" s="118">
        <v>100</v>
      </c>
      <c r="E7" s="118">
        <v>200</v>
      </c>
      <c r="F7" s="13" t="s">
        <v>1138</v>
      </c>
    </row>
    <row r="8" spans="2:8" ht="21.75" customHeight="1" x14ac:dyDescent="0.3">
      <c r="B8" s="32" t="s">
        <v>735</v>
      </c>
      <c r="C8" s="118">
        <v>0</v>
      </c>
      <c r="D8" s="118">
        <v>25</v>
      </c>
      <c r="E8" s="118">
        <v>50</v>
      </c>
      <c r="F8" s="13" t="s">
        <v>1139</v>
      </c>
    </row>
    <row r="9" spans="2:8" ht="21.75" customHeight="1" x14ac:dyDescent="0.3">
      <c r="B9" s="32" t="s">
        <v>736</v>
      </c>
      <c r="C9" s="24">
        <v>0</v>
      </c>
      <c r="D9" s="24">
        <v>0.1</v>
      </c>
      <c r="E9" s="24">
        <v>0.2</v>
      </c>
      <c r="F9" s="13" t="s">
        <v>1140</v>
      </c>
    </row>
    <row r="10" spans="2:8" ht="21.75" customHeight="1" x14ac:dyDescent="0.3">
      <c r="B10" s="32" t="s">
        <v>737</v>
      </c>
      <c r="C10" s="24">
        <v>0</v>
      </c>
      <c r="D10" s="24">
        <v>-0.15</v>
      </c>
      <c r="E10" s="24">
        <v>-0.3</v>
      </c>
      <c r="F10" s="13" t="s">
        <v>1141</v>
      </c>
    </row>
    <row r="11" spans="2:8" ht="21.75" customHeight="1" x14ac:dyDescent="0.3">
      <c r="B11" s="32" t="s">
        <v>738</v>
      </c>
      <c r="C11" s="24">
        <v>0</v>
      </c>
      <c r="D11" s="24">
        <v>0.1</v>
      </c>
      <c r="E11" s="24">
        <v>0.25</v>
      </c>
      <c r="F11" s="13" t="s">
        <v>1142</v>
      </c>
    </row>
    <row r="12" spans="2:8" s="126" customFormat="1" ht="7.95" customHeight="1" x14ac:dyDescent="0.3"/>
    <row r="13" spans="2:8" s="126" customFormat="1" ht="7.95" customHeight="1" x14ac:dyDescent="0.3"/>
    <row r="14" spans="2:8" ht="21.75" customHeight="1" x14ac:dyDescent="0.3">
      <c r="B14" s="363" t="s">
        <v>739</v>
      </c>
      <c r="C14" s="363"/>
      <c r="D14" s="363"/>
      <c r="E14" s="363"/>
      <c r="F14" s="363"/>
      <c r="G14" s="364"/>
      <c r="H14" s="364"/>
    </row>
    <row r="15" spans="2:8" ht="15" customHeight="1" x14ac:dyDescent="0.3">
      <c r="B15" s="365" t="s">
        <v>740</v>
      </c>
      <c r="C15" s="365" t="s">
        <v>731</v>
      </c>
      <c r="D15" s="365" t="s">
        <v>732</v>
      </c>
      <c r="E15" s="365" t="s">
        <v>733</v>
      </c>
      <c r="F15" s="365" t="s">
        <v>741</v>
      </c>
      <c r="G15" s="366"/>
      <c r="H15" s="366"/>
    </row>
    <row r="16" spans="2:8" ht="30" customHeight="1" x14ac:dyDescent="0.3">
      <c r="B16" s="32" t="s">
        <v>742</v>
      </c>
      <c r="C16" s="28">
        <f>IFERROR((SUMIFS('Facility Master'!$L$5:$L$38,'Facility Master'!$E$5:$E$38,"FB")+SUMIFS('Facility Master'!$L$5:$L$38,'Facility Master'!$E$5:$E$38,"FB-Term")+SUMIFS('Facility Master'!$L$5:$L$38,'Facility Master'!$E$5:$E$38,"FB-FCY")+SUMIFS('Facility Master'!$L$5:$L$38,'Facility Master'!$E$5:$E$38,"FB-FDbacked"))*(1+C9)*(IFERROR((SUMPRODUCT(('Facility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Master'!$E$5:$E$38,"FB-FDbacked")),0)+C7/10000+C8/10000),0)</f>
        <v>80.511399999999995</v>
      </c>
      <c r="D16" s="28">
        <f>IFERROR((SUMIFS('Facility Master'!$L$5:$L$38,'Facility Master'!$E$5:$E$38,"FB")+SUMIFS('Facility Master'!$L$5:$L$38,'Facility Master'!$E$5:$E$38,"FB-Term")+SUMIFS('Facility Master'!$L$5:$L$38,'Facility Master'!$E$5:$E$38,"FB-FCY")+SUMIFS('Facility Master'!$L$5:$L$38,'Facility Master'!$E$5:$E$38,"FB-FDbacked"))*(1+D9)*(IFERROR((SUMPRODUCT(('Facility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Master'!$E$5:$E$38,"FB-FDbacked")),0)+D7/10000+D8/10000),0)</f>
        <v>113.55591500000001</v>
      </c>
      <c r="E16" s="28">
        <f>IFERROR((SUMIFS('Facility Master'!$L$5:$L$38,'Facility Master'!$E$5:$E$38,"FB")+SUMIFS('Facility Master'!$L$5:$L$38,'Facility Master'!$E$5:$E$38,"FB-Term")+SUMIFS('Facility Master'!$L$5:$L$38,'Facility Master'!$E$5:$E$38,"FB-FCY")+SUMIFS('Facility Master'!$L$5:$L$38,'Facility Master'!$E$5:$E$38,"FB-FDbacked"))*(1+E9)*(IFERROR((SUMPRODUCT(('Facility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Master'!$E$5:$E$38,"FB-FDbacked")),0)+E7/10000+E8/10000),0)</f>
        <v>151.14467999999999</v>
      </c>
      <c r="F16" s="13" t="s">
        <v>743</v>
      </c>
    </row>
    <row r="17" spans="2:8" ht="30" customHeight="1" x14ac:dyDescent="0.3">
      <c r="B17" s="32" t="s">
        <v>744</v>
      </c>
      <c r="C17" s="119">
        <f>IFERROR(IF(OR(FIN_EBITDA="",FIN_PRINC_REP=""),"Pending Input",(FIN_EBITDA*(1+C10))/((IFERROR((SUMIFS('Facility Master'!$L$5:$L$38,'Facility Master'!$E$5:$E$38,"FB")+SUMIFS('Facility Master'!$L$5:$L$38,'Facility Master'!$E$5:$E$38,"FB-Term")+SUMIFS('Facility Master'!$L$5:$L$38,'Facility Master'!$E$5:$E$38,"FB-FCY")+SUMIFS('Facility Master'!$L$5:$L$38,'Facility Master'!$E$5:$E$38,"FB-FDbacked"))*(1+C9)*(IFERROR((SUMPRODUCT(('Facility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Master'!$E$5:$E$38,"FB-FDbacked")),0)+C7/10000+C8/10000),0))+FIN_PRINC_REP)),"Pending Input")</f>
        <v>1.5322765376839622</v>
      </c>
      <c r="D17" s="119">
        <f>IFERROR(IF(OR(FIN_EBITDA="",FIN_PRINC_REP=""),"Pending Input",(FIN_EBITDA*(1+D10))/((IFERROR((SUMIFS('Facility Master'!$L$5:$L$38,'Facility Master'!$E$5:$E$38,"FB")+SUMIFS('Facility Master'!$L$5:$L$38,'Facility Master'!$E$5:$E$38,"FB-Term")+SUMIFS('Facility Master'!$L$5:$L$38,'Facility Master'!$E$5:$E$38,"FB-FCY")+SUMIFS('Facility Master'!$L$5:$L$38,'Facility Master'!$E$5:$E$38,"FB-FDbacked"))*(1+D9)*(IFERROR((SUMPRODUCT(('Facility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Master'!$E$5:$E$38,"FB-FDbacked")),0)+D7/10000+D8/10000),0))+FIN_PRINC_REP)),"Pending Input")</f>
        <v>1.1506917483192605</v>
      </c>
      <c r="E17" s="119">
        <f>IFERROR(IF(OR(FIN_EBITDA="",FIN_PRINC_REP=""),"Pending Input",(FIN_EBITDA*(1+E10))/((IFERROR((SUMIFS('Facility Master'!$L$5:$L$38,'Facility Master'!$E$5:$E$38,"FB")+SUMIFS('Facility Master'!$L$5:$L$38,'Facility Master'!$E$5:$E$38,"FB-Term")+SUMIFS('Facility Master'!$L$5:$L$38,'Facility Master'!$E$5:$E$38,"FB-FCY")+SUMIFS('Facility Master'!$L$5:$L$38,'Facility Master'!$E$5:$E$38,"FB-FDbacked"))*(1+E9)*(IFERROR((SUMPRODUCT(('Facility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Master'!$E$5:$E$38,"FB-FDbacked")),0)+E7/10000+E8/10000),0))+FIN_PRINC_REP)),"Pending Input")</f>
        <v>0.83673635339455843</v>
      </c>
      <c r="F17" s="13" t="s">
        <v>745</v>
      </c>
    </row>
    <row r="18" spans="2:8" ht="30" customHeight="1" x14ac:dyDescent="0.3">
      <c r="B18" s="32" t="s">
        <v>746</v>
      </c>
      <c r="C18" s="119">
        <f>IFERROR(IF(OR(FIN_TOTAL_DEBT="",FIN_EBITDA=""),"Pending Input",(FIN_TOTAL_DEBT*(1+C11))/(FIN_EBITDA*(1+C10))),"Pending Input")</f>
        <v>1.5965986040212523</v>
      </c>
      <c r="D18" s="119">
        <f>IFERROR(IF(OR(FIN_TOTAL_DEBT="",FIN_EBITDA=""),"Pending Input",(FIN_TOTAL_DEBT*(1+D11))/(FIN_EBITDA*(1+D10))),"Pending Input")</f>
        <v>2.0661864287333853</v>
      </c>
      <c r="E18" s="119">
        <f>IFERROR(IF(OR(FIN_TOTAL_DEBT="",FIN_EBITDA=""),"Pending Input",(FIN_TOTAL_DEBT*(1+E11))/(FIN_EBITDA*(1+E10))),"Pending Input")</f>
        <v>2.8510689357522359</v>
      </c>
      <c r="F18" s="13" t="s">
        <v>747</v>
      </c>
    </row>
    <row r="19" spans="2:8" ht="30" customHeight="1" x14ac:dyDescent="0.3">
      <c r="B19" s="32" t="s">
        <v>748</v>
      </c>
      <c r="C19" s="119">
        <f>IFERROR(IF(FIN_EBITDA="","Pending Input",(FIN_EBITDA*(1+C10))/(IFERROR((SUMIFS('Facility Master'!$L$5:$L$38,'Facility Master'!$E$5:$E$38,"FB")+SUMIFS('Facility Master'!$L$5:$L$38,'Facility Master'!$E$5:$E$38,"FB-Term")+SUMIFS('Facility Master'!$L$5:$L$38,'Facility Master'!$E$5:$E$38,"FB-FCY")+SUMIFS('Facility Master'!$L$5:$L$38,'Facility Master'!$E$5:$E$38,"FB-FDbacked"))*(1+C9)*(IFERROR((SUMPRODUCT(('Facility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Master'!$E$5:$E$38,"FB-FDbacked")),0)+C7/10000+C8/10000),0))),"Pending Input")</f>
        <v>4.7690140775095209</v>
      </c>
      <c r="D19" s="119">
        <f>IFERROR(IF(FIN_EBITDA="","Pending Input",(FIN_EBITDA*(1+D10))/(IFERROR((SUMIFS('Facility Master'!$L$5:$L$38,'Facility Master'!$E$5:$E$38,"FB")+SUMIFS('Facility Master'!$L$5:$L$38,'Facility Master'!$E$5:$E$38,"FB-Term")+SUMIFS('Facility Master'!$L$5:$L$38,'Facility Master'!$E$5:$E$38,"FB-FCY")+SUMIFS('Facility Master'!$L$5:$L$38,'Facility Master'!$E$5:$E$38,"FB-FDbacked"))*(1+D9)*(IFERROR((SUMPRODUCT(('Facility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Master'!$E$5:$E$38,"FB-FDbacked")),0)+D7/10000+D8/10000),0))),"Pending Input")</f>
        <v>2.8740554818302502</v>
      </c>
      <c r="E19" s="119">
        <f>IFERROR(IF(FIN_EBITDA="","Pending Input",(FIN_EBITDA*(1+E10))/(IFERROR((SUMIFS('Facility Master'!$L$5:$L$38,'Facility Master'!$E$5:$E$38,"FB")+SUMIFS('Facility Master'!$L$5:$L$38,'Facility Master'!$E$5:$E$38,"FB-Term")+SUMIFS('Facility Master'!$L$5:$L$38,'Facility Master'!$E$5:$E$38,"FB-FCY")+SUMIFS('Facility Master'!$L$5:$L$38,'Facility Master'!$E$5:$E$38,"FB-FDbacked"))*(1+E9)*(IFERROR((SUMPRODUCT(('Facility Master'!$E$5:$E$38="FB")*'Facility Master'!$L$5:$L$38*'Facility Master'!$Q$5:$Q$38)+SUMPRODUCT(('Facility Master'!$E$5:$E$38="FB-Term")*'Facility Master'!$L$5:$L$38*'Facility Master'!$Q$5:$Q$38)+SUMPRODUCT(('Facility Master'!$E$5:$E$38="FB-FCY")*'Facility Master'!$L$5:$L$38*'Facility Master'!$Q$5:$Q$38)+SUMPRODUCT(('Facility Master'!$E$5:$E$38="FB-FDbacked")*'Facility Master'!$L$5:$L$38*'Facility Master'!$Q$5:$Q$38))/(SUMIFS('Facility Master'!$L$5:$L$38,'Facility Master'!$E$5:$E$38,"FB")+SUMIFS('Facility Master'!$L$5:$L$38,'Facility Master'!$E$5:$E$38,"FB-Term")+SUMIFS('Facility Master'!$L$5:$L$38,'Facility Master'!$E$5:$E$38,"FB-FCY")+SUMIFS('Facility Master'!$L$5:$L$38,'Facility Master'!$E$5:$E$38,"FB-FDbacked")),0)+E7/10000+E8/10000),0))),"Pending Input")</f>
        <v>1.7782432037965212</v>
      </c>
      <c r="F19" s="13" t="s">
        <v>749</v>
      </c>
    </row>
    <row r="20" spans="2:8" s="126" customFormat="1" ht="7.95" customHeight="1" x14ac:dyDescent="0.3"/>
    <row r="21" spans="2:8" s="126" customFormat="1" ht="7.95" customHeight="1" x14ac:dyDescent="0.3"/>
    <row r="22" spans="2:8" ht="21.75" customHeight="1" x14ac:dyDescent="0.3">
      <c r="B22" s="333" t="s">
        <v>1143</v>
      </c>
      <c r="C22" s="333"/>
      <c r="D22" s="333"/>
      <c r="E22" s="333"/>
      <c r="F22" s="333"/>
      <c r="G22" s="367"/>
      <c r="H22" s="367"/>
    </row>
    <row r="23" spans="2:8" ht="120" customHeight="1" x14ac:dyDescent="0.3">
      <c r="B23" s="314" t="s">
        <v>1144</v>
      </c>
      <c r="C23" s="314"/>
      <c r="D23" s="314"/>
      <c r="E23" s="314"/>
      <c r="F23" s="314"/>
    </row>
    <row r="24" spans="2:8" ht="4.05" customHeight="1" x14ac:dyDescent="0.3">
      <c r="B24" s="314"/>
      <c r="C24" s="314"/>
      <c r="D24" s="314"/>
      <c r="E24" s="314"/>
      <c r="F24" s="314"/>
    </row>
    <row r="25" spans="2:8" ht="4.05" customHeight="1" x14ac:dyDescent="0.3">
      <c r="B25" s="314"/>
      <c r="C25" s="314"/>
      <c r="D25" s="314"/>
      <c r="E25" s="314"/>
      <c r="F25" s="314"/>
    </row>
    <row r="26" spans="2:8" ht="4.05" customHeight="1" x14ac:dyDescent="0.3">
      <c r="B26" s="314"/>
      <c r="C26" s="314"/>
      <c r="D26" s="314"/>
      <c r="E26" s="314"/>
      <c r="F26" s="314"/>
    </row>
    <row r="27" spans="2:8" ht="4.05" customHeight="1" x14ac:dyDescent="0.3">
      <c r="B27" s="314"/>
      <c r="C27" s="314"/>
      <c r="D27" s="314"/>
      <c r="E27" s="314"/>
      <c r="F27" s="314"/>
    </row>
    <row r="28" spans="2:8" s="126" customFormat="1" ht="7.95" customHeight="1" x14ac:dyDescent="0.3"/>
    <row r="29" spans="2:8" ht="21.75" customHeight="1" x14ac:dyDescent="0.3">
      <c r="B29" s="368" t="s">
        <v>750</v>
      </c>
      <c r="C29" s="368"/>
      <c r="D29" s="368"/>
      <c r="E29" s="368"/>
      <c r="F29" s="368"/>
      <c r="G29" s="364"/>
      <c r="H29" s="364"/>
    </row>
    <row r="30" spans="2:8" ht="7.95" customHeight="1" x14ac:dyDescent="0.3"/>
    <row r="31" spans="2:8" ht="75" customHeight="1" x14ac:dyDescent="0.3">
      <c r="B31" s="369" t="s">
        <v>1145</v>
      </c>
      <c r="C31" s="370" t="s">
        <v>1150</v>
      </c>
      <c r="D31" s="324"/>
      <c r="E31" s="324"/>
      <c r="F31" s="324"/>
    </row>
    <row r="32" spans="2:8" ht="75" customHeight="1" x14ac:dyDescent="0.3">
      <c r="B32" s="369" t="s">
        <v>1146</v>
      </c>
      <c r="C32" s="370" t="s">
        <v>1151</v>
      </c>
      <c r="D32" s="324"/>
      <c r="E32" s="324"/>
      <c r="F32" s="324"/>
    </row>
    <row r="33" spans="1:8" ht="75" customHeight="1" x14ac:dyDescent="0.3">
      <c r="B33" s="369" t="s">
        <v>1147</v>
      </c>
      <c r="C33" s="370" t="s">
        <v>1152</v>
      </c>
      <c r="D33" s="324"/>
      <c r="E33" s="324"/>
      <c r="F33" s="324"/>
    </row>
    <row r="34" spans="1:8" ht="75" customHeight="1" x14ac:dyDescent="0.3">
      <c r="B34" s="369" t="s">
        <v>1148</v>
      </c>
      <c r="C34" s="370" t="s">
        <v>1153</v>
      </c>
      <c r="D34" s="324"/>
      <c r="E34" s="324"/>
      <c r="F34" s="324"/>
    </row>
    <row r="35" spans="1:8" ht="75" customHeight="1" x14ac:dyDescent="0.3">
      <c r="B35" s="369" t="s">
        <v>1149</v>
      </c>
      <c r="C35" s="370" t="s">
        <v>1154</v>
      </c>
      <c r="D35" s="324"/>
      <c r="E35" s="324"/>
      <c r="F35" s="324"/>
    </row>
    <row r="36" spans="1:8" s="126" customFormat="1" ht="7.95" customHeight="1" x14ac:dyDescent="0.3"/>
    <row r="37" spans="1:8" s="126" customFormat="1" ht="7.95" customHeight="1" x14ac:dyDescent="0.3"/>
    <row r="38" spans="1:8" ht="25.95" customHeight="1" x14ac:dyDescent="0.3">
      <c r="B38" s="371" t="s">
        <v>751</v>
      </c>
      <c r="C38" s="371"/>
      <c r="D38" s="371"/>
      <c r="E38" s="371"/>
      <c r="F38" s="371"/>
      <c r="G38" s="371"/>
      <c r="H38" s="371"/>
    </row>
    <row r="39" spans="1:8" x14ac:dyDescent="0.3">
      <c r="B39" s="3" t="s">
        <v>752</v>
      </c>
    </row>
    <row r="40" spans="1:8" s="126" customFormat="1" ht="7.95" customHeight="1" x14ac:dyDescent="0.3"/>
    <row r="41" spans="1:8" ht="39.6" x14ac:dyDescent="0.3">
      <c r="A41" s="5"/>
      <c r="B41" s="5" t="s">
        <v>75</v>
      </c>
      <c r="C41" s="5" t="s">
        <v>76</v>
      </c>
      <c r="D41" s="5" t="s">
        <v>753</v>
      </c>
      <c r="E41" s="5" t="s">
        <v>754</v>
      </c>
      <c r="F41" s="5" t="s">
        <v>755</v>
      </c>
      <c r="G41" s="5" t="s">
        <v>756</v>
      </c>
      <c r="H41" s="5" t="s">
        <v>757</v>
      </c>
    </row>
    <row r="42" spans="1:8" x14ac:dyDescent="0.3">
      <c r="A42" s="6"/>
      <c r="B42" s="6" t="s">
        <v>758</v>
      </c>
      <c r="C42" s="120">
        <f>BMK_1Y_MCLR_RBL</f>
        <v>0.09</v>
      </c>
      <c r="D42" s="120">
        <f>BMK_1Y_MCLR_RBL+0.01</f>
        <v>9.9999999999999992E-2</v>
      </c>
      <c r="E42" s="6" t="s">
        <v>759</v>
      </c>
      <c r="F42" s="6" t="s">
        <v>760</v>
      </c>
      <c r="G42" s="6"/>
      <c r="H42" s="6"/>
    </row>
    <row r="43" spans="1:8" x14ac:dyDescent="0.3">
      <c r="A43" s="7"/>
      <c r="B43" s="7" t="s">
        <v>761</v>
      </c>
      <c r="C43" s="121">
        <f>BMK_3M_MCLR_YBL</f>
        <v>0.09</v>
      </c>
      <c r="D43" s="121">
        <f>BMK_3M_MCLR_YBL+0.01</f>
        <v>9.9999999999999992E-2</v>
      </c>
      <c r="E43" s="7" t="s">
        <v>762</v>
      </c>
      <c r="F43" s="7" t="s">
        <v>760</v>
      </c>
      <c r="G43" s="7"/>
      <c r="H43" s="7"/>
    </row>
    <row r="44" spans="1:8" x14ac:dyDescent="0.3">
      <c r="A44" s="6"/>
      <c r="B44" s="6" t="s">
        <v>763</v>
      </c>
      <c r="C44" s="120">
        <f>BMK_6M_IMCLR_ICICI</f>
        <v>8.3000000000000004E-2</v>
      </c>
      <c r="D44" s="120">
        <f>BMK_6M_IMCLR_ICICI+0.01</f>
        <v>9.2999999999999999E-2</v>
      </c>
      <c r="E44" s="6" t="s">
        <v>764</v>
      </c>
      <c r="F44" s="6" t="s">
        <v>760</v>
      </c>
      <c r="G44" s="6"/>
      <c r="H44" s="6"/>
    </row>
    <row r="45" spans="1:8" x14ac:dyDescent="0.3">
      <c r="A45" s="7"/>
      <c r="B45" s="7" t="s">
        <v>765</v>
      </c>
      <c r="C45" s="121">
        <f>BMK_12M_MCLR_SIB</f>
        <v>9.7500000000000003E-2</v>
      </c>
      <c r="D45" s="121">
        <f>BMK_12M_MCLR_SIB+0.01</f>
        <v>0.1075</v>
      </c>
      <c r="E45" s="7" t="s">
        <v>766</v>
      </c>
      <c r="F45" s="7" t="s">
        <v>760</v>
      </c>
      <c r="G45" s="7"/>
      <c r="H45" s="7"/>
    </row>
    <row r="46" spans="1:8" x14ac:dyDescent="0.3">
      <c r="A46" s="6"/>
      <c r="B46" s="6" t="s">
        <v>767</v>
      </c>
      <c r="C46" s="120">
        <f>BMK_3M_TBILL</f>
        <v>5.1799999999999999E-2</v>
      </c>
      <c r="D46" s="120">
        <f>BMK_3M_TBILL+0.01</f>
        <v>6.1800000000000001E-2</v>
      </c>
      <c r="E46" s="6" t="s">
        <v>768</v>
      </c>
      <c r="F46" s="6" t="s">
        <v>760</v>
      </c>
      <c r="G46" s="6"/>
      <c r="H46" s="6"/>
    </row>
    <row r="47" spans="1:8" ht="26.4" x14ac:dyDescent="0.3">
      <c r="A47" s="7"/>
      <c r="B47" s="7" t="s">
        <v>769</v>
      </c>
      <c r="C47" s="121">
        <f>BMK_TERM_SOFR</f>
        <v>4.2999999999999997E-2</v>
      </c>
      <c r="D47" s="121">
        <f>BMK_TERM_SOFR+0.01</f>
        <v>5.2999999999999999E-2</v>
      </c>
      <c r="E47" s="7" t="s">
        <v>770</v>
      </c>
      <c r="F47" s="7" t="s">
        <v>760</v>
      </c>
      <c r="G47" s="7"/>
      <c r="H47" s="7"/>
    </row>
    <row r="48" spans="1:8" x14ac:dyDescent="0.3">
      <c r="A48" s="6"/>
      <c r="B48" s="6" t="s">
        <v>382</v>
      </c>
      <c r="C48" s="120">
        <f>BMK_REPO</f>
        <v>5.2499999999999998E-2</v>
      </c>
      <c r="D48" s="120">
        <f>BMK_REPO+0.01</f>
        <v>6.25E-2</v>
      </c>
      <c r="E48" s="6" t="s">
        <v>771</v>
      </c>
      <c r="F48" s="6" t="s">
        <v>760</v>
      </c>
      <c r="G48" s="6"/>
      <c r="H48" s="6"/>
    </row>
    <row r="49" spans="1:8" x14ac:dyDescent="0.3">
      <c r="A49" s="7"/>
      <c r="B49" s="7" t="s">
        <v>772</v>
      </c>
      <c r="C49" s="121">
        <f>BMK_BFRR</f>
        <v>8.5000000000000006E-2</v>
      </c>
      <c r="D49" s="121">
        <f>BMK_BFRR+0.01</f>
        <v>9.5000000000000001E-2</v>
      </c>
      <c r="E49" s="7" t="s">
        <v>773</v>
      </c>
      <c r="F49" s="7" t="s">
        <v>760</v>
      </c>
      <c r="G49" s="7"/>
      <c r="H49" s="7"/>
    </row>
    <row r="50" spans="1:8" x14ac:dyDescent="0.3">
      <c r="A50" s="6"/>
      <c r="B50" s="6" t="s">
        <v>1155</v>
      </c>
      <c r="C50" s="6"/>
      <c r="D50" s="6"/>
      <c r="E50" s="6" t="s">
        <v>3</v>
      </c>
      <c r="F50" s="6" t="s">
        <v>228</v>
      </c>
      <c r="G50" s="6">
        <f>IFERROR((FIN_EBITDA*0.9)/(FIN_INT_EXP+FIN_PRINC_REP),"-")</f>
        <v>1.5768377823408624</v>
      </c>
      <c r="H50" s="6">
        <f>IFERROR((FIN_EBITDA*0.9)/FIN_INT_EXP,"-")</f>
        <v>7.0408312958435202</v>
      </c>
    </row>
    <row r="51" spans="1:8" x14ac:dyDescent="0.3">
      <c r="A51" s="7"/>
      <c r="B51" s="7" t="s">
        <v>1156</v>
      </c>
      <c r="C51" s="7"/>
      <c r="D51" s="7"/>
      <c r="E51" s="7" t="s">
        <v>3</v>
      </c>
      <c r="F51" s="7">
        <f>IFERROR(FIN_INT_EXP*0.15,"-")</f>
        <v>7.3619999999999992</v>
      </c>
      <c r="G51" s="7">
        <f>IFERROR(FIN_EBITDA/(FIN_INT_EXP*1.15+FIN_PRINC_REP),"-")</f>
        <v>1.6950978314614678</v>
      </c>
      <c r="H51" s="7">
        <f>IFERROR(FIN_EBITDA/(FIN_INT_EXP*1.15),"-")</f>
        <v>6.8027355515396337</v>
      </c>
    </row>
    <row r="52" spans="1:8" s="126" customFormat="1" ht="7.95" customHeight="1" x14ac:dyDescent="0.3"/>
    <row r="53" spans="1:8" s="126" customFormat="1" ht="7.95" customHeight="1" x14ac:dyDescent="0.3"/>
    <row r="54" spans="1:8" ht="25.95" customHeight="1" x14ac:dyDescent="0.3">
      <c r="B54" s="371" t="s">
        <v>774</v>
      </c>
      <c r="C54" s="371"/>
      <c r="D54" s="371"/>
      <c r="E54" s="371"/>
      <c r="F54" s="371"/>
      <c r="G54" s="371"/>
      <c r="H54" s="371"/>
    </row>
    <row r="55" spans="1:8" x14ac:dyDescent="0.3">
      <c r="B55" s="122" t="s">
        <v>775</v>
      </c>
      <c r="C55" s="336"/>
      <c r="D55" s="336" t="str">
        <f>FIN_RATING</f>
        <v>CARE A+; Stable / A1</v>
      </c>
      <c r="E55" s="336"/>
      <c r="F55" s="336"/>
      <c r="G55" s="336"/>
      <c r="H55" s="336"/>
    </row>
    <row r="56" spans="1:8" x14ac:dyDescent="0.3">
      <c r="B56" s="372" t="s">
        <v>776</v>
      </c>
      <c r="C56" s="336"/>
      <c r="D56" s="336" t="s">
        <v>777</v>
      </c>
      <c r="E56" s="336"/>
      <c r="F56" s="336"/>
      <c r="G56" s="336"/>
      <c r="H56" s="336"/>
    </row>
    <row r="57" spans="1:8" x14ac:dyDescent="0.3">
      <c r="B57" s="372" t="s">
        <v>778</v>
      </c>
      <c r="C57" s="336"/>
      <c r="D57" s="336" t="s">
        <v>1157</v>
      </c>
      <c r="E57" s="336"/>
      <c r="F57" s="336"/>
      <c r="G57" s="336"/>
      <c r="H57" s="336"/>
    </row>
    <row r="58" spans="1:8" x14ac:dyDescent="0.3">
      <c r="B58" s="372" t="s">
        <v>779</v>
      </c>
      <c r="C58" s="336"/>
      <c r="D58" s="123" t="s">
        <v>1158</v>
      </c>
      <c r="E58" s="336"/>
      <c r="F58" s="336"/>
      <c r="G58" s="336"/>
      <c r="H58" s="336"/>
    </row>
  </sheetData>
  <mergeCells count="12">
    <mergeCell ref="C34:F34"/>
    <mergeCell ref="C35:F35"/>
    <mergeCell ref="B23:F27"/>
    <mergeCell ref="B29:F29"/>
    <mergeCell ref="C31:F31"/>
    <mergeCell ref="C32:F32"/>
    <mergeCell ref="C33:F33"/>
    <mergeCell ref="B2:F2"/>
    <mergeCell ref="B3:F3"/>
    <mergeCell ref="B5:F5"/>
    <mergeCell ref="B14:F14"/>
    <mergeCell ref="B22:F22"/>
  </mergeCells>
  <dataValidations count="1">
    <dataValidation type="list" sqref="C4" xr:uid="{00000000-0002-0000-0F00-000000000000}">
      <formula1>"Base,Stress,Upside"</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B2:E79"/>
  <sheetViews>
    <sheetView showGridLines="0" tabSelected="1" zoomScale="74" zoomScaleNormal="99" workbookViewId="0">
      <pane xSplit="1" ySplit="5" topLeftCell="B40" activePane="bottomRight" state="frozen"/>
      <selection pane="topRight" activeCell="D1" sqref="D1"/>
      <selection pane="bottomLeft" activeCell="A75" sqref="A75"/>
      <selection pane="bottomRight" activeCell="C65" sqref="C65"/>
    </sheetView>
  </sheetViews>
  <sheetFormatPr defaultColWidth="8.6640625" defaultRowHeight="14.4" x14ac:dyDescent="0.3"/>
  <cols>
    <col min="1" max="1" width="3" customWidth="1"/>
    <col min="2" max="2" width="42" customWidth="1"/>
    <col min="3" max="3" width="151.77734375" customWidth="1"/>
    <col min="4" max="4" width="16" customWidth="1"/>
    <col min="5" max="5" width="173.5546875" customWidth="1"/>
  </cols>
  <sheetData>
    <row r="2" spans="2:5" ht="36" customHeight="1" x14ac:dyDescent="0.3">
      <c r="B2" s="300" t="s">
        <v>60</v>
      </c>
      <c r="C2" s="300"/>
      <c r="D2" s="300"/>
      <c r="E2" s="300"/>
    </row>
    <row r="3" spans="2:5" ht="27.75" customHeight="1" x14ac:dyDescent="0.3">
      <c r="B3" s="1"/>
      <c r="C3" s="1"/>
      <c r="D3" s="1"/>
      <c r="E3" s="1"/>
    </row>
    <row r="4" spans="2:5" ht="27.75" customHeight="1" x14ac:dyDescent="0.3">
      <c r="B4" s="301" t="s">
        <v>61</v>
      </c>
      <c r="C4" s="301"/>
      <c r="D4" s="301"/>
      <c r="E4" s="301"/>
    </row>
    <row r="5" spans="2:5" ht="39.75" customHeight="1" x14ac:dyDescent="0.3">
      <c r="B5" s="9" t="s">
        <v>62</v>
      </c>
      <c r="C5" s="9" t="s">
        <v>63</v>
      </c>
      <c r="D5" s="9" t="s">
        <v>64</v>
      </c>
      <c r="E5" s="9" t="s">
        <v>1</v>
      </c>
    </row>
    <row r="6" spans="2:5" ht="21.75" customHeight="1" x14ac:dyDescent="0.3">
      <c r="B6" s="10" t="s">
        <v>18</v>
      </c>
      <c r="C6" s="11">
        <v>46133</v>
      </c>
      <c r="D6" s="12"/>
      <c r="E6" s="13" t="s">
        <v>1160</v>
      </c>
    </row>
    <row r="7" spans="2:5" ht="21.75" customHeight="1" x14ac:dyDescent="0.3">
      <c r="B7" s="10" t="s">
        <v>65</v>
      </c>
      <c r="C7" s="14">
        <v>92.98</v>
      </c>
      <c r="D7" s="15" t="s">
        <v>66</v>
      </c>
      <c r="E7" s="16" t="s">
        <v>1161</v>
      </c>
    </row>
    <row r="8" spans="2:5" ht="21.75" customHeight="1" x14ac:dyDescent="0.3">
      <c r="B8" s="10" t="s">
        <v>67</v>
      </c>
      <c r="C8" s="17" t="b">
        <f>TRUE()</f>
        <v>1</v>
      </c>
      <c r="D8" s="12" t="s">
        <v>68</v>
      </c>
      <c r="E8" s="13" t="s">
        <v>1162</v>
      </c>
    </row>
    <row r="9" spans="2:5" ht="21.75" customHeight="1" x14ac:dyDescent="0.3">
      <c r="B9" s="10" t="s">
        <v>69</v>
      </c>
      <c r="C9" s="18">
        <v>365</v>
      </c>
      <c r="D9" s="12" t="s">
        <v>70</v>
      </c>
      <c r="E9" s="13" t="s">
        <v>1163</v>
      </c>
    </row>
    <row r="10" spans="2:5" ht="21.75" customHeight="1" x14ac:dyDescent="0.3">
      <c r="B10" s="19" t="s">
        <v>71</v>
      </c>
      <c r="C10" s="17" t="s">
        <v>72</v>
      </c>
      <c r="D10" s="20" t="s">
        <v>73</v>
      </c>
      <c r="E10" s="21" t="s">
        <v>1164</v>
      </c>
    </row>
    <row r="11" spans="2:5" ht="27.75" customHeight="1" x14ac:dyDescent="0.3">
      <c r="B11" s="301" t="s">
        <v>74</v>
      </c>
      <c r="C11" s="301"/>
      <c r="D11" s="301"/>
      <c r="E11" s="301"/>
    </row>
    <row r="12" spans="2:5" ht="31.5" customHeight="1" x14ac:dyDescent="0.3">
      <c r="B12" s="9" t="s">
        <v>75</v>
      </c>
      <c r="C12" s="9" t="s">
        <v>76</v>
      </c>
      <c r="D12" s="9"/>
      <c r="E12" s="9" t="s">
        <v>77</v>
      </c>
    </row>
    <row r="13" spans="2:5" ht="27.75" customHeight="1" x14ac:dyDescent="0.3">
      <c r="B13" s="10" t="s">
        <v>78</v>
      </c>
      <c r="C13" s="22">
        <v>5.1799999999999999E-2</v>
      </c>
      <c r="E13" s="23" t="s">
        <v>79</v>
      </c>
    </row>
    <row r="14" spans="2:5" ht="27.75" customHeight="1" x14ac:dyDescent="0.3">
      <c r="B14" s="10" t="s">
        <v>80</v>
      </c>
      <c r="C14" s="22">
        <v>5.2499999999999998E-2</v>
      </c>
      <c r="E14" s="23" t="s">
        <v>81</v>
      </c>
    </row>
    <row r="15" spans="2:5" ht="27.75" customHeight="1" x14ac:dyDescent="0.3">
      <c r="B15" s="10" t="s">
        <v>82</v>
      </c>
      <c r="C15" s="22">
        <v>0.09</v>
      </c>
      <c r="E15" s="23" t="s">
        <v>83</v>
      </c>
    </row>
    <row r="16" spans="2:5" ht="27.75" customHeight="1" x14ac:dyDescent="0.3">
      <c r="B16" s="10" t="s">
        <v>84</v>
      </c>
      <c r="C16" s="22">
        <v>0.09</v>
      </c>
      <c r="E16" s="23" t="s">
        <v>85</v>
      </c>
    </row>
    <row r="17" spans="2:5" ht="27.75" customHeight="1" x14ac:dyDescent="0.3">
      <c r="B17" s="10" t="s">
        <v>86</v>
      </c>
      <c r="C17" s="22">
        <v>8.3000000000000004E-2</v>
      </c>
      <c r="E17" s="23" t="s">
        <v>87</v>
      </c>
    </row>
    <row r="18" spans="2:5" ht="27.75" customHeight="1" x14ac:dyDescent="0.3">
      <c r="B18" s="10" t="s">
        <v>88</v>
      </c>
      <c r="C18" s="22">
        <v>9.7500000000000003E-2</v>
      </c>
      <c r="E18" s="23" t="s">
        <v>89</v>
      </c>
    </row>
    <row r="19" spans="2:5" ht="27.75" customHeight="1" x14ac:dyDescent="0.3">
      <c r="B19" s="10" t="s">
        <v>90</v>
      </c>
      <c r="C19" s="22">
        <v>8.5000000000000006E-2</v>
      </c>
      <c r="E19" s="23" t="s">
        <v>91</v>
      </c>
    </row>
    <row r="20" spans="2:5" ht="27.75" customHeight="1" x14ac:dyDescent="0.3">
      <c r="B20" s="10" t="s">
        <v>92</v>
      </c>
      <c r="C20" s="22">
        <v>4.2999999999999997E-2</v>
      </c>
      <c r="E20" s="23" t="s">
        <v>93</v>
      </c>
    </row>
    <row r="21" spans="2:5" ht="27.75" customHeight="1" x14ac:dyDescent="0.3">
      <c r="B21" s="10" t="s">
        <v>94</v>
      </c>
      <c r="C21" s="24"/>
      <c r="E21" s="23" t="s">
        <v>95</v>
      </c>
    </row>
    <row r="23" spans="2:5" ht="21.75" customHeight="1" x14ac:dyDescent="0.3">
      <c r="B23" s="338" t="s">
        <v>96</v>
      </c>
      <c r="C23" s="339"/>
      <c r="D23" s="339"/>
      <c r="E23" s="339"/>
    </row>
    <row r="24" spans="2:5" ht="36" customHeight="1" x14ac:dyDescent="0.3">
      <c r="B24" s="25" t="s">
        <v>97</v>
      </c>
      <c r="C24" s="26" t="s">
        <v>98</v>
      </c>
      <c r="D24" s="27" t="s">
        <v>1165</v>
      </c>
      <c r="E24" s="27" t="s">
        <v>99</v>
      </c>
    </row>
    <row r="25" spans="2:5" ht="21.75" customHeight="1" x14ac:dyDescent="0.3">
      <c r="B25" s="10" t="s">
        <v>100</v>
      </c>
      <c r="C25" s="28">
        <f t="shared" ref="C25:C36" si="0">IF(FinancialBasis="Actual",D25,E25)</f>
        <v>383.96</v>
      </c>
      <c r="D25" s="29">
        <v>173.37</v>
      </c>
      <c r="E25" s="29">
        <v>383.96</v>
      </c>
    </row>
    <row r="26" spans="2:5" ht="21.75" customHeight="1" x14ac:dyDescent="0.3">
      <c r="B26" s="10" t="s">
        <v>101</v>
      </c>
      <c r="C26" s="28">
        <f t="shared" si="0"/>
        <v>613.03</v>
      </c>
      <c r="D26" s="29">
        <v>471.82</v>
      </c>
      <c r="E26" s="29">
        <v>613.03</v>
      </c>
    </row>
    <row r="27" spans="2:5" ht="21.75" customHeight="1" x14ac:dyDescent="0.3">
      <c r="B27" s="10" t="s">
        <v>102</v>
      </c>
      <c r="C27" s="28">
        <f t="shared" si="0"/>
        <v>431.28</v>
      </c>
      <c r="D27" s="29">
        <v>324.01</v>
      </c>
      <c r="E27" s="29">
        <v>431.28</v>
      </c>
    </row>
    <row r="28" spans="2:5" ht="21.75" customHeight="1" x14ac:dyDescent="0.3">
      <c r="B28" s="10" t="s">
        <v>103</v>
      </c>
      <c r="C28" s="28">
        <f t="shared" si="0"/>
        <v>740.13</v>
      </c>
      <c r="D28" s="29">
        <v>720.11</v>
      </c>
      <c r="E28" s="29">
        <v>740.13</v>
      </c>
    </row>
    <row r="29" spans="2:5" ht="21.75" customHeight="1" x14ac:dyDescent="0.3">
      <c r="B29" s="10" t="s">
        <v>104</v>
      </c>
      <c r="C29" s="28">
        <f t="shared" si="0"/>
        <v>720.76</v>
      </c>
      <c r="D29" s="29">
        <v>588.29</v>
      </c>
      <c r="E29" s="29">
        <v>720.76</v>
      </c>
    </row>
    <row r="30" spans="2:5" ht="21.75" customHeight="1" x14ac:dyDescent="0.3">
      <c r="B30" s="10" t="s">
        <v>105</v>
      </c>
      <c r="C30" s="28">
        <f t="shared" si="0"/>
        <v>755.02</v>
      </c>
      <c r="D30" s="29">
        <v>711.3</v>
      </c>
      <c r="E30" s="29">
        <v>755.02</v>
      </c>
    </row>
    <row r="31" spans="2:5" ht="21.75" customHeight="1" x14ac:dyDescent="0.3">
      <c r="B31" s="10" t="s">
        <v>106</v>
      </c>
      <c r="C31" s="28">
        <f t="shared" si="0"/>
        <v>544.79</v>
      </c>
      <c r="D31" s="29">
        <v>513.82000000000005</v>
      </c>
      <c r="E31" s="29">
        <v>544.79</v>
      </c>
    </row>
    <row r="32" spans="2:5" ht="21.75" customHeight="1" x14ac:dyDescent="0.3">
      <c r="B32" s="10" t="s">
        <v>107</v>
      </c>
      <c r="C32" s="28">
        <f t="shared" si="0"/>
        <v>1143.49</v>
      </c>
      <c r="D32" s="29">
        <v>1143.77</v>
      </c>
      <c r="E32" s="29">
        <v>1143.49</v>
      </c>
    </row>
    <row r="33" spans="2:5" ht="21.75" customHeight="1" x14ac:dyDescent="0.3">
      <c r="B33" s="10" t="s">
        <v>108</v>
      </c>
      <c r="C33" s="28">
        <f t="shared" si="0"/>
        <v>49.08</v>
      </c>
      <c r="D33" s="29">
        <v>39.869999999999997</v>
      </c>
      <c r="E33" s="29">
        <v>49.08</v>
      </c>
    </row>
    <row r="34" spans="2:5" ht="21.75" customHeight="1" x14ac:dyDescent="0.3">
      <c r="B34" s="10" t="s">
        <v>109</v>
      </c>
      <c r="C34" s="28">
        <f t="shared" si="0"/>
        <v>937.69</v>
      </c>
      <c r="D34" s="29">
        <v>449.34</v>
      </c>
      <c r="E34" s="29">
        <v>937.69</v>
      </c>
    </row>
    <row r="35" spans="2:5" ht="21.75" customHeight="1" x14ac:dyDescent="0.3">
      <c r="B35" s="10" t="s">
        <v>110</v>
      </c>
      <c r="C35" s="28">
        <f t="shared" si="0"/>
        <v>431.28</v>
      </c>
      <c r="D35" s="29">
        <v>324.01</v>
      </c>
      <c r="E35" s="29">
        <v>431.28</v>
      </c>
    </row>
    <row r="36" spans="2:5" ht="21.75" customHeight="1" x14ac:dyDescent="0.3">
      <c r="B36" s="10" t="s">
        <v>111</v>
      </c>
      <c r="C36" s="30" t="str">
        <f t="shared" si="0"/>
        <v>CARE A+; Stable / A1</v>
      </c>
      <c r="D36" s="17" t="s">
        <v>112</v>
      </c>
      <c r="E36" s="17" t="s">
        <v>112</v>
      </c>
    </row>
    <row r="37" spans="2:5" ht="21.75" customHeight="1" x14ac:dyDescent="0.3">
      <c r="B37" s="10" t="s">
        <v>113</v>
      </c>
      <c r="C37" s="31">
        <v>1</v>
      </c>
      <c r="D37" s="22">
        <v>1</v>
      </c>
      <c r="E37" s="22">
        <v>1</v>
      </c>
    </row>
    <row r="38" spans="2:5" ht="21.75" customHeight="1" x14ac:dyDescent="0.3">
      <c r="B38" s="206" t="s">
        <v>114</v>
      </c>
      <c r="C38" s="207">
        <f>IF(FinancialBasis="Actual",D38,E38)</f>
        <v>170.07</v>
      </c>
      <c r="D38" s="208">
        <v>18.760000000000002</v>
      </c>
      <c r="E38" s="208">
        <v>170.07</v>
      </c>
    </row>
    <row r="39" spans="2:5" ht="21.75" customHeight="1" x14ac:dyDescent="0.3">
      <c r="B39" s="212" t="s">
        <v>1119</v>
      </c>
      <c r="C39" s="213">
        <v>69.36</v>
      </c>
      <c r="D39" s="214"/>
      <c r="E39" s="214">
        <v>69.36</v>
      </c>
    </row>
    <row r="40" spans="2:5" ht="21.75" customHeight="1" x14ac:dyDescent="0.3">
      <c r="B40" s="209" t="s">
        <v>1120</v>
      </c>
      <c r="C40" s="210">
        <v>41.09</v>
      </c>
      <c r="D40" s="211"/>
      <c r="E40" s="211">
        <v>41.09</v>
      </c>
    </row>
    <row r="42" spans="2:5" ht="21.75" customHeight="1" x14ac:dyDescent="0.3">
      <c r="B42" s="338" t="s">
        <v>115</v>
      </c>
      <c r="C42" s="340" t="s">
        <v>116</v>
      </c>
      <c r="D42" s="339"/>
      <c r="E42" s="339"/>
    </row>
    <row r="43" spans="2:5" ht="21.75" customHeight="1" x14ac:dyDescent="0.3">
      <c r="B43" s="376" t="s">
        <v>117</v>
      </c>
      <c r="C43" s="376"/>
      <c r="D43" s="376"/>
      <c r="E43" s="376"/>
    </row>
    <row r="44" spans="2:5" ht="36" customHeight="1" x14ac:dyDescent="0.3">
      <c r="B44" s="26" t="s">
        <v>118</v>
      </c>
      <c r="C44" s="26" t="s">
        <v>119</v>
      </c>
      <c r="D44" s="26" t="s">
        <v>18</v>
      </c>
      <c r="E44" s="26" t="s">
        <v>120</v>
      </c>
    </row>
    <row r="45" spans="2:5" ht="30" customHeight="1" x14ac:dyDescent="0.3">
      <c r="B45" s="32" t="s">
        <v>121</v>
      </c>
      <c r="C45" s="33" t="s">
        <v>122</v>
      </c>
      <c r="D45" s="33" t="s">
        <v>123</v>
      </c>
      <c r="E45" s="13" t="s">
        <v>124</v>
      </c>
    </row>
    <row r="46" spans="2:5" ht="30" customHeight="1" x14ac:dyDescent="0.3">
      <c r="B46" s="32" t="s">
        <v>125</v>
      </c>
      <c r="C46" s="33" t="s">
        <v>126</v>
      </c>
      <c r="D46" s="33" t="s">
        <v>127</v>
      </c>
      <c r="E46" s="13" t="s">
        <v>128</v>
      </c>
    </row>
    <row r="47" spans="2:5" ht="30" customHeight="1" x14ac:dyDescent="0.3">
      <c r="B47" s="32" t="s">
        <v>129</v>
      </c>
      <c r="C47" s="33" t="s">
        <v>130</v>
      </c>
      <c r="D47" s="33" t="s">
        <v>131</v>
      </c>
      <c r="E47" s="13" t="s">
        <v>132</v>
      </c>
    </row>
    <row r="48" spans="2:5" ht="30" customHeight="1" x14ac:dyDescent="0.3">
      <c r="B48" s="32" t="s">
        <v>133</v>
      </c>
      <c r="C48" s="33" t="s">
        <v>134</v>
      </c>
      <c r="D48" s="33" t="s">
        <v>135</v>
      </c>
      <c r="E48" s="13" t="s">
        <v>136</v>
      </c>
    </row>
    <row r="49" spans="2:5" ht="30" customHeight="1" x14ac:dyDescent="0.3">
      <c r="B49" s="32" t="s">
        <v>137</v>
      </c>
      <c r="C49" s="33" t="s">
        <v>138</v>
      </c>
      <c r="D49" s="33" t="s">
        <v>139</v>
      </c>
      <c r="E49" s="13" t="s">
        <v>140</v>
      </c>
    </row>
    <row r="50" spans="2:5" ht="30" customHeight="1" x14ac:dyDescent="0.3">
      <c r="B50" s="32" t="s">
        <v>141</v>
      </c>
      <c r="C50" s="33" t="s">
        <v>138</v>
      </c>
      <c r="D50" s="33" t="s">
        <v>139</v>
      </c>
      <c r="E50" s="13" t="s">
        <v>142</v>
      </c>
    </row>
    <row r="51" spans="2:5" ht="30" customHeight="1" x14ac:dyDescent="0.3">
      <c r="B51" s="32" t="s">
        <v>88</v>
      </c>
      <c r="C51" s="33" t="s">
        <v>143</v>
      </c>
      <c r="D51" s="33" t="s">
        <v>144</v>
      </c>
      <c r="E51" s="13" t="s">
        <v>145</v>
      </c>
    </row>
    <row r="52" spans="2:5" ht="30" customHeight="1" x14ac:dyDescent="0.3">
      <c r="B52" s="32" t="s">
        <v>90</v>
      </c>
      <c r="C52" s="33" t="s">
        <v>146</v>
      </c>
      <c r="D52" s="33" t="s">
        <v>147</v>
      </c>
      <c r="E52" s="13" t="s">
        <v>148</v>
      </c>
    </row>
    <row r="53" spans="2:5" ht="30" customHeight="1" x14ac:dyDescent="0.3">
      <c r="B53" s="32" t="s">
        <v>149</v>
      </c>
      <c r="C53" s="33" t="s">
        <v>150</v>
      </c>
      <c r="D53" s="33" t="s">
        <v>139</v>
      </c>
      <c r="E53" s="13" t="s">
        <v>151</v>
      </c>
    </row>
    <row r="54" spans="2:5" ht="30" customHeight="1" x14ac:dyDescent="0.3">
      <c r="B54" s="32" t="s">
        <v>152</v>
      </c>
      <c r="C54" s="33" t="s">
        <v>112</v>
      </c>
      <c r="D54" s="33" t="s">
        <v>153</v>
      </c>
      <c r="E54" s="23" t="s">
        <v>154</v>
      </c>
    </row>
    <row r="55" spans="2:5" ht="30" customHeight="1" x14ac:dyDescent="0.3">
      <c r="B55" s="32" t="s">
        <v>155</v>
      </c>
      <c r="C55" s="33" t="s">
        <v>156</v>
      </c>
      <c r="D55" s="377">
        <v>45981</v>
      </c>
      <c r="E55" s="13" t="s">
        <v>1166</v>
      </c>
    </row>
    <row r="56" spans="2:5" ht="36" customHeight="1" x14ac:dyDescent="0.3">
      <c r="B56" s="373" t="s">
        <v>157</v>
      </c>
      <c r="C56" s="373" t="s">
        <v>158</v>
      </c>
      <c r="D56" s="373"/>
      <c r="E56" s="373" t="s">
        <v>159</v>
      </c>
    </row>
    <row r="57" spans="2:5" ht="45.75" customHeight="1" x14ac:dyDescent="0.3">
      <c r="B57" s="32" t="s">
        <v>160</v>
      </c>
      <c r="C57" s="13" t="s">
        <v>161</v>
      </c>
      <c r="E57" s="33" t="s">
        <v>162</v>
      </c>
    </row>
    <row r="58" spans="2:5" ht="45.75" customHeight="1" x14ac:dyDescent="0.3">
      <c r="B58" s="32" t="s">
        <v>163</v>
      </c>
      <c r="C58" s="13" t="s">
        <v>164</v>
      </c>
      <c r="E58" s="33" t="s">
        <v>165</v>
      </c>
    </row>
    <row r="59" spans="2:5" ht="45.75" customHeight="1" x14ac:dyDescent="0.3">
      <c r="B59" s="32" t="s">
        <v>166</v>
      </c>
      <c r="C59" s="13" t="s">
        <v>167</v>
      </c>
      <c r="E59" s="33" t="s">
        <v>168</v>
      </c>
    </row>
    <row r="60" spans="2:5" ht="45.75" customHeight="1" x14ac:dyDescent="0.3">
      <c r="B60" s="32" t="s">
        <v>169</v>
      </c>
      <c r="C60" s="13" t="s">
        <v>170</v>
      </c>
      <c r="E60" s="33" t="s">
        <v>171</v>
      </c>
    </row>
    <row r="61" spans="2:5" ht="45.75" customHeight="1" x14ac:dyDescent="0.3">
      <c r="B61" s="32" t="s">
        <v>172</v>
      </c>
      <c r="C61" s="13" t="s">
        <v>173</v>
      </c>
      <c r="E61" s="33" t="s">
        <v>174</v>
      </c>
    </row>
    <row r="62" spans="2:5" ht="45.75" customHeight="1" x14ac:dyDescent="0.3">
      <c r="B62" s="32" t="s">
        <v>175</v>
      </c>
      <c r="C62" s="13" t="s">
        <v>176</v>
      </c>
      <c r="E62" s="33" t="s">
        <v>177</v>
      </c>
    </row>
    <row r="63" spans="2:5" ht="45.75" customHeight="1" x14ac:dyDescent="0.3">
      <c r="B63" s="32" t="s">
        <v>178</v>
      </c>
      <c r="C63" s="13" t="s">
        <v>179</v>
      </c>
      <c r="E63" s="33" t="s">
        <v>180</v>
      </c>
    </row>
    <row r="64" spans="2:5" ht="45.75" customHeight="1" x14ac:dyDescent="0.3">
      <c r="B64" s="32" t="s">
        <v>181</v>
      </c>
      <c r="C64" s="13" t="s">
        <v>182</v>
      </c>
      <c r="E64" s="33" t="s">
        <v>183</v>
      </c>
    </row>
    <row r="65" spans="2:5" ht="45.75" customHeight="1" x14ac:dyDescent="0.3">
      <c r="B65" s="32" t="s">
        <v>184</v>
      </c>
      <c r="C65" s="13" t="s">
        <v>185</v>
      </c>
      <c r="E65" s="33" t="s">
        <v>186</v>
      </c>
    </row>
    <row r="66" spans="2:5" ht="45.75" customHeight="1" x14ac:dyDescent="0.3">
      <c r="B66" s="32" t="s">
        <v>187</v>
      </c>
      <c r="C66" s="13" t="s">
        <v>188</v>
      </c>
      <c r="E66" s="33" t="s">
        <v>189</v>
      </c>
    </row>
    <row r="67" spans="2:5" ht="45.75" customHeight="1" x14ac:dyDescent="0.3">
      <c r="B67" s="32" t="s">
        <v>1130</v>
      </c>
      <c r="C67" s="13" t="s">
        <v>1131</v>
      </c>
      <c r="E67" s="33" t="s">
        <v>1132</v>
      </c>
    </row>
    <row r="68" spans="2:5" ht="42" customHeight="1" x14ac:dyDescent="0.3">
      <c r="B68" s="343" t="s">
        <v>1167</v>
      </c>
      <c r="C68" s="341" t="s">
        <v>190</v>
      </c>
      <c r="D68" s="341" t="s">
        <v>191</v>
      </c>
      <c r="E68" s="342" t="s">
        <v>192</v>
      </c>
    </row>
    <row r="69" spans="2:5" ht="21.75" customHeight="1" x14ac:dyDescent="0.3">
      <c r="B69" s="338" t="s">
        <v>193</v>
      </c>
      <c r="C69" s="339"/>
      <c r="D69" s="339"/>
      <c r="E69" s="339"/>
    </row>
    <row r="70" spans="2:5" ht="19.5" customHeight="1" x14ac:dyDescent="0.3">
      <c r="B70" s="19" t="s">
        <v>194</v>
      </c>
      <c r="C70" s="34" t="s">
        <v>195</v>
      </c>
    </row>
    <row r="71" spans="2:5" ht="19.5" customHeight="1" x14ac:dyDescent="0.3">
      <c r="B71" s="374" t="s">
        <v>196</v>
      </c>
      <c r="C71" s="375" t="s">
        <v>197</v>
      </c>
      <c r="D71" s="336"/>
      <c r="E71" s="336"/>
    </row>
    <row r="72" spans="2:5" ht="19.5" customHeight="1" x14ac:dyDescent="0.3">
      <c r="B72" s="19" t="s">
        <v>198</v>
      </c>
      <c r="C72" s="35" t="s">
        <v>199</v>
      </c>
    </row>
    <row r="73" spans="2:5" ht="19.5" customHeight="1" x14ac:dyDescent="0.3">
      <c r="B73" s="19" t="s">
        <v>200</v>
      </c>
      <c r="C73" s="36" t="s">
        <v>201</v>
      </c>
    </row>
    <row r="74" spans="2:5" ht="19.5" customHeight="1" x14ac:dyDescent="0.3">
      <c r="B74" s="19" t="s">
        <v>202</v>
      </c>
      <c r="C74" s="37" t="s">
        <v>203</v>
      </c>
    </row>
    <row r="75" spans="2:5" ht="19.5" customHeight="1" x14ac:dyDescent="0.3">
      <c r="B75" s="19" t="s">
        <v>204</v>
      </c>
      <c r="C75" s="38" t="s">
        <v>205</v>
      </c>
    </row>
    <row r="76" spans="2:5" ht="19.5" customHeight="1" x14ac:dyDescent="0.3">
      <c r="B76" s="19" t="s">
        <v>206</v>
      </c>
      <c r="C76" s="39" t="s">
        <v>207</v>
      </c>
    </row>
    <row r="77" spans="2:5" ht="64.5" customHeight="1" x14ac:dyDescent="0.3">
      <c r="B77" s="344" t="s">
        <v>208</v>
      </c>
      <c r="C77" s="345" t="s">
        <v>209</v>
      </c>
      <c r="D77" s="346"/>
      <c r="E77" s="345" t="s">
        <v>1168</v>
      </c>
    </row>
    <row r="78" spans="2:5" ht="64.5" customHeight="1" x14ac:dyDescent="0.3">
      <c r="B78" s="344" t="s">
        <v>210</v>
      </c>
      <c r="C78" s="345" t="s">
        <v>211</v>
      </c>
      <c r="D78" s="346"/>
      <c r="E78" s="345" t="s">
        <v>1169</v>
      </c>
    </row>
    <row r="79" spans="2:5" ht="64.5" customHeight="1" x14ac:dyDescent="0.3">
      <c r="B79" s="344" t="s">
        <v>212</v>
      </c>
      <c r="C79" s="345" t="s">
        <v>213</v>
      </c>
      <c r="D79" s="346"/>
      <c r="E79" s="345" t="s">
        <v>1170</v>
      </c>
    </row>
  </sheetData>
  <mergeCells count="4">
    <mergeCell ref="B2:E2"/>
    <mergeCell ref="B4:E4"/>
    <mergeCell ref="B11:E11"/>
    <mergeCell ref="B43:E43"/>
  </mergeCells>
  <dataValidations count="2">
    <dataValidation type="list" sqref="C8" xr:uid="{00000000-0002-0000-0200-000000000000}">
      <formula1>"TRUE,FALSE"</formula1>
      <formula2>0</formula2>
    </dataValidation>
    <dataValidation type="list" sqref="C10" xr:uid="{00000000-0002-0000-0200-000001000000}">
      <formula1>"Actual,Projected"</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N45"/>
  <sheetViews>
    <sheetView showGridLines="0" zoomScaleNormal="100" workbookViewId="0">
      <pane xSplit="2" ySplit="5" topLeftCell="C12" activePane="bottomRight" state="frozen"/>
      <selection pane="topRight" activeCell="C1" sqref="C1"/>
      <selection pane="bottomLeft" activeCell="A6" sqref="A6"/>
      <selection pane="bottomRight"/>
    </sheetView>
  </sheetViews>
  <sheetFormatPr defaultColWidth="8.6640625" defaultRowHeight="14.4" x14ac:dyDescent="0.3"/>
  <cols>
    <col min="1" max="1" width="2" customWidth="1"/>
    <col min="2" max="2" width="5" customWidth="1"/>
    <col min="3" max="3" width="16" customWidth="1"/>
    <col min="4" max="4" width="28" customWidth="1"/>
    <col min="5" max="5" width="10" customWidth="1"/>
    <col min="6" max="6" width="13" customWidth="1"/>
    <col min="7" max="7" width="22" customWidth="1"/>
    <col min="8" max="8" width="10" customWidth="1"/>
    <col min="9" max="9" width="8" customWidth="1"/>
    <col min="10" max="11" width="10" customWidth="1"/>
    <col min="12" max="12" width="8" customWidth="1"/>
    <col min="13" max="13" width="31.21875" bestFit="1" customWidth="1"/>
    <col min="14" max="14" width="14" customWidth="1"/>
  </cols>
  <sheetData>
    <row r="1" spans="1:14" x14ac:dyDescent="0.3">
      <c r="A1" s="126"/>
      <c r="B1" s="126"/>
      <c r="C1" s="126"/>
      <c r="D1" s="126"/>
      <c r="E1" s="126"/>
      <c r="F1" s="126"/>
      <c r="G1" s="126"/>
      <c r="H1" s="126"/>
      <c r="I1" s="126"/>
      <c r="J1" s="126"/>
      <c r="K1" s="126"/>
      <c r="L1" s="126"/>
      <c r="M1" s="126"/>
      <c r="N1" s="126"/>
    </row>
    <row r="2" spans="1:14" ht="36" customHeight="1" thickBot="1" x14ac:dyDescent="0.45">
      <c r="A2" s="126"/>
      <c r="B2" s="302" t="s">
        <v>214</v>
      </c>
      <c r="C2" s="302"/>
      <c r="D2" s="302"/>
      <c r="E2" s="302"/>
      <c r="F2" s="302"/>
      <c r="G2" s="302"/>
      <c r="H2" s="302"/>
      <c r="I2" s="302"/>
      <c r="J2" s="302"/>
      <c r="K2" s="302"/>
      <c r="L2" s="302"/>
      <c r="M2" s="302"/>
      <c r="N2" s="302"/>
    </row>
    <row r="3" spans="1:14" ht="28.05" customHeight="1" thickTop="1" x14ac:dyDescent="0.3">
      <c r="A3" s="126"/>
      <c r="B3" s="303" t="s">
        <v>215</v>
      </c>
      <c r="C3" s="303"/>
      <c r="D3" s="303"/>
      <c r="E3" s="303"/>
      <c r="F3" s="303"/>
      <c r="G3" s="303"/>
      <c r="H3" s="303"/>
      <c r="I3" s="303"/>
      <c r="J3" s="303"/>
      <c r="K3" s="303"/>
      <c r="L3" s="303"/>
      <c r="M3" s="303"/>
      <c r="N3" s="303"/>
    </row>
    <row r="4" spans="1:14" s="126" customFormat="1" ht="7.95" customHeight="1" x14ac:dyDescent="0.3"/>
    <row r="5" spans="1:14" ht="39.6" x14ac:dyDescent="0.3">
      <c r="A5" s="127"/>
      <c r="B5" s="127" t="s">
        <v>216</v>
      </c>
      <c r="C5" s="127" t="s">
        <v>217</v>
      </c>
      <c r="D5" s="127" t="s">
        <v>218</v>
      </c>
      <c r="E5" s="127" t="s">
        <v>219</v>
      </c>
      <c r="F5" s="127" t="s">
        <v>220</v>
      </c>
      <c r="G5" s="127" t="s">
        <v>221</v>
      </c>
      <c r="H5" s="127" t="s">
        <v>222</v>
      </c>
      <c r="I5" s="127" t="s">
        <v>223</v>
      </c>
      <c r="J5" s="127" t="s">
        <v>224</v>
      </c>
      <c r="K5" s="127" t="s">
        <v>225</v>
      </c>
      <c r="L5" s="127" t="s">
        <v>226</v>
      </c>
      <c r="M5" s="127" t="s">
        <v>227</v>
      </c>
      <c r="N5" s="127" t="s">
        <v>0</v>
      </c>
    </row>
    <row r="6" spans="1:14" ht="224.4" x14ac:dyDescent="0.3">
      <c r="A6" s="128"/>
      <c r="B6" s="130">
        <f>'Facility Master'!B5</f>
        <v>1</v>
      </c>
      <c r="C6" s="130" t="str">
        <f>'Facility Master'!C5</f>
        <v>RBL Bank</v>
      </c>
      <c r="D6" s="130" t="str">
        <f>'Facility Master'!D5</f>
        <v>Letter of Credit - Main Limit</v>
      </c>
      <c r="E6" s="130" t="str">
        <f>'Facility Master'!E5</f>
        <v>NFB</v>
      </c>
      <c r="F6" s="130" t="str">
        <f>'Facility Master'!R5</f>
        <v>Fixed</v>
      </c>
      <c r="G6" s="130" t="str">
        <f>'Facility Master'!O5</f>
        <v>Fixed commission</v>
      </c>
      <c r="H6" s="130" t="str">
        <f>IFERROR(IF('Facility Master'!O5="1Y MCLR (RBL Bank)",BMK_1Y_MCLR_RBL,IF('Facility Master'!O5="3M MCLR (YBL)",BMK_3M_MCLR_YBL,IF('Facility Master'!O5="6M I-MCLR (ICICI)",BMK_6M_IMCLR_ICICI,IF('Facility Master'!O5="12M MCLR (SIB)",BMK_12M_MCLR_SIB,IF('Facility Master'!O5="Bajaj Floating Reference Rate (BFRR)",BMK_BFRR,IF('Facility Master'!O5="Term SOFR (USD)",BMK_TERM_SOFR,IF('Facility Master'!O5="Repo Rate",BMK_REPO,IF('Facility Master'!O5="FD rate",BMK_FD_RATE,IF('Facility Master'!O5="3M T-Bill",BMK_3M_TBILL,"-"))))))))),"-")</f>
        <v>-</v>
      </c>
      <c r="I6" s="130" t="str">
        <f>IFERROR('Facility Master'!P5*10000,"-")</f>
        <v>-</v>
      </c>
      <c r="J6" s="131">
        <f>'Facility Master'!Q5</f>
        <v>4.4999999999999997E-3</v>
      </c>
      <c r="K6" s="130" t="str">
        <f>IF('Facility Master'!R5="Floating","Quarterly",IF('Facility Master'!R5="Fixed","N/A",IF('Facility Master'!R5="TBD","TBD","N/A")))</f>
        <v>N/A</v>
      </c>
      <c r="L6" s="130" t="s">
        <v>228</v>
      </c>
      <c r="M6" s="130" t="str">
        <f>'Facility Master'!AE5</f>
        <v>Pricing revised from 0.50% to 0.45% on 31-Dec-2025. | Validity rolled +1 year (orig: 2025-11-30) per Assumption #12: annual-renewal WC facilities presumed operationally renewed. Confirm with relationship manager.</v>
      </c>
      <c r="N6" s="130" t="str">
        <f>IF('Facility Master'!Q5=0,IF('Facility Master'!R5="TBD","⚠ Rate TBD","⚠ Rate Missing"),IF('Facility Master'!R5="Floating (Indicative)","⚠ Indicative","✓ Confirmed"))</f>
        <v>✓ Confirmed</v>
      </c>
    </row>
    <row r="7" spans="1:14" ht="409.6" x14ac:dyDescent="0.3">
      <c r="A7" s="129"/>
      <c r="B7" s="132">
        <f>'Facility Master'!B6</f>
        <v>2</v>
      </c>
      <c r="C7" s="132" t="str">
        <f>'Facility Master'!C6</f>
        <v>RBL Bank</v>
      </c>
      <c r="D7" s="132" t="str">
        <f>'Facility Master'!D6</f>
        <v>Bank Guarantee</v>
      </c>
      <c r="E7" s="132" t="str">
        <f>'Facility Master'!E6</f>
        <v>NFB</v>
      </c>
      <c r="F7" s="132" t="str">
        <f>'Facility Master'!R6</f>
        <v>Fixed</v>
      </c>
      <c r="G7" s="132" t="str">
        <f>'Facility Master'!O6</f>
        <v>Fixed commission</v>
      </c>
      <c r="H7" s="132" t="str">
        <f>IFERROR(IF('Facility Master'!O6="1Y MCLR (RBL Bank)",BMK_1Y_MCLR_RBL,IF('Facility Master'!O6="3M MCLR (YBL)",BMK_3M_MCLR_YBL,IF('Facility Master'!O6="6M I-MCLR (ICICI)",BMK_6M_IMCLR_ICICI,IF('Facility Master'!O6="12M MCLR (SIB)",BMK_12M_MCLR_SIB,IF('Facility Master'!O6="Bajaj Floating Reference Rate (BFRR)",BMK_BFRR,IF('Facility Master'!O6="Term SOFR (USD)",BMK_TERM_SOFR,IF('Facility Master'!O6="Repo Rate",BMK_REPO,IF('Facility Master'!O6="FD rate",BMK_FD_RATE,IF('Facility Master'!O6="3M T-Bill",BMK_3M_TBILL,"-"))))))))),"-")</f>
        <v>-</v>
      </c>
      <c r="I7" s="132" t="str">
        <f>IFERROR('Facility Master'!P6*10000,"-")</f>
        <v>-</v>
      </c>
      <c r="J7" s="133">
        <f>'Facility Master'!Q6</f>
        <v>5.0000000000000001E-3</v>
      </c>
      <c r="K7" s="132" t="str">
        <f>IF('Facility Master'!R6="Floating","Quarterly",IF('Facility Master'!R6="Fixed","N/A",IF('Facility Master'!R6="TBD","TBD","N/A")))</f>
        <v>N/A</v>
      </c>
      <c r="L7" s="132" t="s">
        <v>228</v>
      </c>
      <c r="M7" s="132" t="str">
        <f>'Facility Master'!AE6</f>
        <v>Pricing per 28-Feb-2025 table; BG not re-priced on 31-Dec-2025. | Validity rolled +1 year (orig: 2025-11-30) per Assumption #12: annual-renewal WC facilities presumed operationally renewed. Confirm with relationship manager. | ⚠ COMMISSION RATE TBD: Original RBL sanction (25-Nov-2022) specifies 1.00% p.a. for BGs. 31-Dec-2025 renewal does not explicitly revise BG rate downward. 0.50% is inferred from the 28-Feb-2025 pricing table but NOT confirmed in writing by RBL for the renewed sanction. Confirm 0.50% with RBL RM before finalising lender reporting / commission accrual.</v>
      </c>
      <c r="N7" s="132" t="str">
        <f>IF('Facility Master'!Q6=0,IF('Facility Master'!R6="TBD","⚠ Rate TBD","⚠ Rate Missing"),IF('Facility Master'!R6="Floating (Indicative)","⚠ Indicative","✓ Confirmed"))</f>
        <v>✓ Confirmed</v>
      </c>
    </row>
    <row r="8" spans="1:14" ht="211.2" x14ac:dyDescent="0.3">
      <c r="A8" s="128"/>
      <c r="B8" s="130">
        <f>'Facility Master'!B7</f>
        <v>3</v>
      </c>
      <c r="C8" s="130" t="str">
        <f>'Facility Master'!C7</f>
        <v>RBL Bank</v>
      </c>
      <c r="D8" s="130" t="str">
        <f>'Facility Master'!D7</f>
        <v>Invoice Discounting (PID)</v>
      </c>
      <c r="E8" s="130" t="str">
        <f>'Facility Master'!E7</f>
        <v>FB</v>
      </c>
      <c r="F8" s="130" t="str">
        <f>'Facility Master'!R7</f>
        <v>TBD</v>
      </c>
      <c r="G8" s="130" t="str">
        <f>'Facility Master'!O7</f>
        <v>To be decided</v>
      </c>
      <c r="H8" s="130" t="str">
        <f>IFERROR(IF('Facility Master'!O7="1Y MCLR (RBL Bank)",BMK_1Y_MCLR_RBL,IF('Facility Master'!O7="3M MCLR (YBL)",BMK_3M_MCLR_YBL,IF('Facility Master'!O7="6M I-MCLR (ICICI)",BMK_6M_IMCLR_ICICI,IF('Facility Master'!O7="12M MCLR (SIB)",BMK_12M_MCLR_SIB,IF('Facility Master'!O7="Bajaj Floating Reference Rate (BFRR)",BMK_BFRR,IF('Facility Master'!O7="Term SOFR (USD)",BMK_TERM_SOFR,IF('Facility Master'!O7="Repo Rate",BMK_REPO,IF('Facility Master'!O7="FD rate",BMK_FD_RATE,IF('Facility Master'!O7="3M T-Bill",BMK_3M_TBILL,"-"))))))))),"-")</f>
        <v>-</v>
      </c>
      <c r="I8" s="130" t="str">
        <f>IFERROR('Facility Master'!P7*10000,"-")</f>
        <v>-</v>
      </c>
      <c r="J8" s="131">
        <f>'Facility Master'!Q7</f>
        <v>0</v>
      </c>
      <c r="K8" s="130" t="str">
        <f>IF('Facility Master'!R7="Floating","Quarterly",IF('Facility Master'!R7="Fixed","N/A",IF('Facility Master'!R7="TBD","TBD","N/A")))</f>
        <v>TBD</v>
      </c>
      <c r="L8" s="130" t="s">
        <v>228</v>
      </c>
      <c r="M8" s="130" t="str">
        <f>'Facility Master'!AE7</f>
        <v>Rate not specified in sanction letter. | Validity rolled +1 year (orig: 2025-11-30) per Assumption #12: annual-renewal WC facilities presumed operationally renewed. Confirm with relationship manager.</v>
      </c>
      <c r="N8" s="130" t="str">
        <f>IF('Facility Master'!Q7=0,IF('Facility Master'!R7="TBD","⚠ Rate TBD","⚠ Rate Missing"),IF('Facility Master'!R7="Floating (Indicative)","⚠ Indicative","✓ Confirmed"))</f>
        <v>⚠ Rate TBD</v>
      </c>
    </row>
    <row r="9" spans="1:14" ht="409.6" x14ac:dyDescent="0.3">
      <c r="A9" s="129"/>
      <c r="B9" s="132">
        <f>'Facility Master'!B8</f>
        <v>4</v>
      </c>
      <c r="C9" s="132" t="str">
        <f>'Facility Master'!C8</f>
        <v>RBL Bank</v>
      </c>
      <c r="D9" s="132" t="str">
        <f>'Facility Master'!D8</f>
        <v>SBLC</v>
      </c>
      <c r="E9" s="132" t="str">
        <f>'Facility Master'!E8</f>
        <v>NFB</v>
      </c>
      <c r="F9" s="132" t="str">
        <f>'Facility Master'!R8</f>
        <v>TBD</v>
      </c>
      <c r="G9" s="132" t="str">
        <f>'Facility Master'!O8</f>
        <v>To be decided</v>
      </c>
      <c r="H9" s="132" t="str">
        <f>IFERROR(IF('Facility Master'!O8="1Y MCLR (RBL Bank)",BMK_1Y_MCLR_RBL,IF('Facility Master'!O8="3M MCLR (YBL)",BMK_3M_MCLR_YBL,IF('Facility Master'!O8="6M I-MCLR (ICICI)",BMK_6M_IMCLR_ICICI,IF('Facility Master'!O8="12M MCLR (SIB)",BMK_12M_MCLR_SIB,IF('Facility Master'!O8="Bajaj Floating Reference Rate (BFRR)",BMK_BFRR,IF('Facility Master'!O8="Term SOFR (USD)",BMK_TERM_SOFR,IF('Facility Master'!O8="Repo Rate",BMK_REPO,IF('Facility Master'!O8="FD rate",BMK_FD_RATE,IF('Facility Master'!O8="3M T-Bill",BMK_3M_TBILL,"-"))))))))),"-")</f>
        <v>-</v>
      </c>
      <c r="I9" s="132" t="str">
        <f>IFERROR('Facility Master'!P8*10000,"-")</f>
        <v>-</v>
      </c>
      <c r="J9" s="133">
        <f>'Facility Master'!Q8</f>
        <v>5.0000000000000001E-3</v>
      </c>
      <c r="K9" s="132" t="str">
        <f>IF('Facility Master'!R8="Floating","Quarterly",IF('Facility Master'!R8="Fixed","N/A",IF('Facility Master'!R8="TBD","TBD","N/A")))</f>
        <v>TBD</v>
      </c>
      <c r="L9" s="132" t="s">
        <v>228</v>
      </c>
      <c r="M9" s="132" t="str">
        <f>'Facility Master'!AE8</f>
        <v>SBLC sub-limit introduced via 13-Mar-2025 modification. | Validity rolled +1 year (orig: 2025-11-30) per Assumption #12: annual-renewal WC facilities presumed operationally renewed. Confirm with relationship manager. | Commission 0.50% per 28-Feb-2025 pricing, unchanged in 31-Dec-2025 renewal ('all other terms continue'). Earlier 13-Mar-2025 modification said 'TBD at transaction' for this sub-limit but was overridden by 31-Dec-2025 renewal.</v>
      </c>
      <c r="N9" s="132" t="str">
        <f>IF('Facility Master'!Q8=0,IF('Facility Master'!R8="TBD","⚠ Rate TBD","⚠ Rate Missing"),IF('Facility Master'!R8="Floating (Indicative)","⚠ Indicative","✓ Confirmed"))</f>
        <v>✓ Confirmed</v>
      </c>
    </row>
    <row r="10" spans="1:14" ht="211.2" x14ac:dyDescent="0.3">
      <c r="A10" s="128"/>
      <c r="B10" s="130">
        <f>'Facility Master'!B9</f>
        <v>5</v>
      </c>
      <c r="C10" s="130" t="str">
        <f>'Facility Master'!C9</f>
        <v>RBL Bank</v>
      </c>
      <c r="D10" s="130" t="str">
        <f>'Facility Master'!D9</f>
        <v>Pre-Acceptance LCBD</v>
      </c>
      <c r="E10" s="130" t="str">
        <f>'Facility Master'!E9</f>
        <v>FB</v>
      </c>
      <c r="F10" s="130" t="str">
        <f>'Facility Master'!R9</f>
        <v>TBD</v>
      </c>
      <c r="G10" s="130" t="str">
        <f>'Facility Master'!O9</f>
        <v>To be decided</v>
      </c>
      <c r="H10" s="130" t="str">
        <f>IFERROR(IF('Facility Master'!O9="1Y MCLR (RBL Bank)",BMK_1Y_MCLR_RBL,IF('Facility Master'!O9="3M MCLR (YBL)",BMK_3M_MCLR_YBL,IF('Facility Master'!O9="6M I-MCLR (ICICI)",BMK_6M_IMCLR_ICICI,IF('Facility Master'!O9="12M MCLR (SIB)",BMK_12M_MCLR_SIB,IF('Facility Master'!O9="Bajaj Floating Reference Rate (BFRR)",BMK_BFRR,IF('Facility Master'!O9="Term SOFR (USD)",BMK_TERM_SOFR,IF('Facility Master'!O9="Repo Rate",BMK_REPO,IF('Facility Master'!O9="FD rate",BMK_FD_RATE,IF('Facility Master'!O9="3M T-Bill",BMK_3M_TBILL,"-"))))))))),"-")</f>
        <v>-</v>
      </c>
      <c r="I10" s="130" t="str">
        <f>IFERROR('Facility Master'!P9*10000,"-")</f>
        <v>-</v>
      </c>
      <c r="J10" s="131">
        <f>'Facility Master'!Q9</f>
        <v>0</v>
      </c>
      <c r="K10" s="130" t="str">
        <f>IF('Facility Master'!R9="Floating","Quarterly",IF('Facility Master'!R9="Fixed","N/A",IF('Facility Master'!R9="TBD","TBD","N/A")))</f>
        <v>TBD</v>
      </c>
      <c r="L10" s="130" t="s">
        <v>228</v>
      </c>
      <c r="M10" s="130" t="str">
        <f>'Facility Master'!AE9</f>
        <v>Rate not specified in sanction letter. | Validity rolled +1 year (orig: 2025-11-30) per Assumption #12: annual-renewal WC facilities presumed operationally renewed. Confirm with relationship manager.</v>
      </c>
      <c r="N10" s="130" t="str">
        <f>IF('Facility Master'!Q9=0,IF('Facility Master'!R9="TBD","⚠ Rate TBD","⚠ Rate Missing"),IF('Facility Master'!R9="Floating (Indicative)","⚠ Indicative","✓ Confirmed"))</f>
        <v>⚠ Rate TBD</v>
      </c>
    </row>
    <row r="11" spans="1:14" ht="237.6" x14ac:dyDescent="0.3">
      <c r="A11" s="129"/>
      <c r="B11" s="132">
        <f>'Facility Master'!B10</f>
        <v>6</v>
      </c>
      <c r="C11" s="132" t="str">
        <f>'Facility Master'!C10</f>
        <v>RBL Bank</v>
      </c>
      <c r="D11" s="132" t="str">
        <f>'Facility Master'!D10</f>
        <v>Cash Credit</v>
      </c>
      <c r="E11" s="132" t="str">
        <f>'Facility Master'!E10</f>
        <v>FB</v>
      </c>
      <c r="F11" s="132" t="str">
        <f>'Facility Master'!R10</f>
        <v>Floating</v>
      </c>
      <c r="G11" s="132" t="str">
        <f>'Facility Master'!O10</f>
        <v>1Y MCLR (RBL Bank)</v>
      </c>
      <c r="H11" s="134">
        <f>IFERROR(IF('Facility Master'!O10="1Y MCLR (RBL Bank)",BMK_1Y_MCLR_RBL,IF('Facility Master'!O10="3M MCLR (YBL)",BMK_3M_MCLR_YBL,IF('Facility Master'!O10="6M I-MCLR (ICICI)",BMK_6M_IMCLR_ICICI,IF('Facility Master'!O10="12M MCLR (SIB)",BMK_12M_MCLR_SIB,IF('Facility Master'!O10="Bajaj Floating Reference Rate (BFRR)",BMK_BFRR,IF('Facility Master'!O10="Term SOFR (USD)",BMK_TERM_SOFR,IF('Facility Master'!O10="Repo Rate",BMK_REPO,IF('Facility Master'!O10="FD rate",BMK_FD_RATE,IF('Facility Master'!O10="3M T-Bill",BMK_3M_TBILL,"-"))))))))),"-")</f>
        <v>0.09</v>
      </c>
      <c r="I11" s="132">
        <f>IFERROR('Facility Master'!P10*10000,"-")</f>
        <v>5</v>
      </c>
      <c r="J11" s="133">
        <f>'Facility Master'!Q10</f>
        <v>9.0499999999999997E-2</v>
      </c>
      <c r="K11" s="132" t="str">
        <f>IF('Facility Master'!R10="Floating","Quarterly",IF('Facility Master'!R10="Fixed","N/A",IF('Facility Master'!R10="TBD","TBD","N/A")))</f>
        <v>Quarterly</v>
      </c>
      <c r="L11" s="132" t="s">
        <v>228</v>
      </c>
      <c r="M11" s="132" t="str">
        <f>'Facility Master'!AE10</f>
        <v>Pricing defined 28-Feb-2025; unchanged in 31-Dec-2025 letter. | Validity rolled +1 year (orig: 2025-11-30) per Assumption #12: annual-renewal WC facilities presumed operationally renewed. Confirm with relationship manager.</v>
      </c>
      <c r="N11" s="132" t="str">
        <f>IF('Facility Master'!Q10=0,IF('Facility Master'!R10="TBD","⚠ Rate TBD","⚠ Rate Missing"),IF('Facility Master'!R10="Floating (Indicative)","⚠ Indicative","✓ Confirmed"))</f>
        <v>✓ Confirmed</v>
      </c>
    </row>
    <row r="12" spans="1:14" ht="198" x14ac:dyDescent="0.3">
      <c r="A12" s="128"/>
      <c r="B12" s="130">
        <f>'Facility Master'!B11</f>
        <v>7</v>
      </c>
      <c r="C12" s="130" t="str">
        <f>'Facility Master'!C11</f>
        <v>RBL Bank</v>
      </c>
      <c r="D12" s="130" t="str">
        <f>'Facility Master'!D11</f>
        <v>Working Capital Demand Loan (WCDL)</v>
      </c>
      <c r="E12" s="130" t="str">
        <f>'Facility Master'!E11</f>
        <v>FB</v>
      </c>
      <c r="F12" s="130" t="str">
        <f>'Facility Master'!R11</f>
        <v>TBD</v>
      </c>
      <c r="G12" s="130" t="str">
        <f>'Facility Master'!O11</f>
        <v>To be decided</v>
      </c>
      <c r="H12" s="130" t="str">
        <f>IFERROR(IF('Facility Master'!O11="1Y MCLR (RBL Bank)",BMK_1Y_MCLR_RBL,IF('Facility Master'!O11="3M MCLR (YBL)",BMK_3M_MCLR_YBL,IF('Facility Master'!O11="6M I-MCLR (ICICI)",BMK_6M_IMCLR_ICICI,IF('Facility Master'!O11="12M MCLR (SIB)",BMK_12M_MCLR_SIB,IF('Facility Master'!O11="Bajaj Floating Reference Rate (BFRR)",BMK_BFRR,IF('Facility Master'!O11="Term SOFR (USD)",BMK_TERM_SOFR,IF('Facility Master'!O11="Repo Rate",BMK_REPO,IF('Facility Master'!O11="FD rate",BMK_FD_RATE,IF('Facility Master'!O11="3M T-Bill",BMK_3M_TBILL,"-"))))))))),"-")</f>
        <v>-</v>
      </c>
      <c r="I12" s="130" t="str">
        <f>IFERROR('Facility Master'!P11*10000,"-")</f>
        <v>-</v>
      </c>
      <c r="J12" s="131">
        <f>'Facility Master'!Q11</f>
        <v>0</v>
      </c>
      <c r="K12" s="130" t="str">
        <f>IF('Facility Master'!R11="Floating","Quarterly",IF('Facility Master'!R11="Fixed","N/A",IF('Facility Master'!R11="TBD","TBD","N/A")))</f>
        <v>TBD</v>
      </c>
      <c r="L12" s="130" t="s">
        <v>228</v>
      </c>
      <c r="M12" s="130" t="str">
        <f>'Facility Master'!AE11</f>
        <v>Rate set at drawdown. | Validity rolled +1 year (orig: 2025-11-30) per Assumption #12: annual-renewal WC facilities presumed operationally renewed. Confirm with relationship manager.</v>
      </c>
      <c r="N12" s="130" t="str">
        <f>IF('Facility Master'!Q11=0,IF('Facility Master'!R11="TBD","⚠ Rate TBD","⚠ Rate Missing"),IF('Facility Master'!R11="Floating (Indicative)","⚠ Indicative","✓ Confirmed"))</f>
        <v>⚠ Rate TBD</v>
      </c>
    </row>
    <row r="13" spans="1:14" ht="211.2" x14ac:dyDescent="0.3">
      <c r="A13" s="129"/>
      <c r="B13" s="132">
        <f>'Facility Master'!B12</f>
        <v>8</v>
      </c>
      <c r="C13" s="132" t="str">
        <f>'Facility Master'!C12</f>
        <v>RBL Bank</v>
      </c>
      <c r="D13" s="132" t="str">
        <f>'Facility Master'!D12</f>
        <v>Loan Equivalent Risk (LER)</v>
      </c>
      <c r="E13" s="132" t="str">
        <f>'Facility Master'!E12</f>
        <v>Hedge</v>
      </c>
      <c r="F13" s="132" t="str">
        <f>'Facility Master'!R12</f>
        <v>Fixed</v>
      </c>
      <c r="G13" s="132" t="str">
        <f>'Facility Master'!O12</f>
        <v>Bank treasury</v>
      </c>
      <c r="H13" s="132" t="str">
        <f>IFERROR(IF('Facility Master'!O12="1Y MCLR (RBL Bank)",BMK_1Y_MCLR_RBL,IF('Facility Master'!O12="3M MCLR (YBL)",BMK_3M_MCLR_YBL,IF('Facility Master'!O12="6M I-MCLR (ICICI)",BMK_6M_IMCLR_ICICI,IF('Facility Master'!O12="12M MCLR (SIB)",BMK_12M_MCLR_SIB,IF('Facility Master'!O12="Bajaj Floating Reference Rate (BFRR)",BMK_BFRR,IF('Facility Master'!O12="Term SOFR (USD)",BMK_TERM_SOFR,IF('Facility Master'!O12="Repo Rate",BMK_REPO,IF('Facility Master'!O12="FD rate",BMK_FD_RATE,IF('Facility Master'!O12="3M T-Bill",BMK_3M_TBILL,"-"))))))))),"-")</f>
        <v>-</v>
      </c>
      <c r="I13" s="132" t="str">
        <f>IFERROR('Facility Master'!P12*10000,"-")</f>
        <v>-</v>
      </c>
      <c r="J13" s="133">
        <f>'Facility Master'!Q12</f>
        <v>0</v>
      </c>
      <c r="K13" s="132" t="str">
        <f>IF('Facility Master'!R12="Floating","Quarterly",IF('Facility Master'!R12="Fixed","N/A",IF('Facility Master'!R12="TBD","TBD","N/A")))</f>
        <v>N/A</v>
      </c>
      <c r="L13" s="132" t="s">
        <v>228</v>
      </c>
      <c r="M13" s="132" t="str">
        <f>'Facility Master'!AE12</f>
        <v>Notional limit; 75% MTM trigger. | Validity rolled +1 year (orig: 2025-11-30) per Assumption #12: annual-renewal WC facilities presumed operationally renewed. Confirm with relationship manager.</v>
      </c>
      <c r="N13" s="132" t="str">
        <f>IF('Facility Master'!Q12=0,IF('Facility Master'!R12="TBD","⚠ Rate TBD","⚠ Rate Missing"),IF('Facility Master'!R12="Floating (Indicative)","⚠ Indicative","✓ Confirmed"))</f>
        <v>⚠ Rate Missing</v>
      </c>
    </row>
    <row r="14" spans="1:14" ht="224.4" x14ac:dyDescent="0.3">
      <c r="A14" s="128"/>
      <c r="B14" s="130">
        <f>'Facility Master'!B13</f>
        <v>9</v>
      </c>
      <c r="C14" s="130" t="str">
        <f>'Facility Master'!C13</f>
        <v>RBL Bank</v>
      </c>
      <c r="D14" s="130" t="str">
        <f>'Facility Master'!D13</f>
        <v>Term Loan - Main Limit</v>
      </c>
      <c r="E14" s="130" t="str">
        <f>'Facility Master'!E13</f>
        <v>FB-Term</v>
      </c>
      <c r="F14" s="130" t="str">
        <f>'Facility Master'!R13</f>
        <v>Floating (Indicative)</v>
      </c>
      <c r="G14" s="130" t="str">
        <f>'Facility Master'!O13</f>
        <v>1Y MCLR (RBL Bank)</v>
      </c>
      <c r="H14" s="135">
        <f>IFERROR(IF('Facility Master'!O13="1Y MCLR (RBL Bank)",BMK_1Y_MCLR_RBL,IF('Facility Master'!O13="3M MCLR (YBL)",BMK_3M_MCLR_YBL,IF('Facility Master'!O13="6M I-MCLR (ICICI)",BMK_6M_IMCLR_ICICI,IF('Facility Master'!O13="12M MCLR (SIB)",BMK_12M_MCLR_SIB,IF('Facility Master'!O13="Bajaj Floating Reference Rate (BFRR)",BMK_BFRR,IF('Facility Master'!O13="Term SOFR (USD)",BMK_TERM_SOFR,IF('Facility Master'!O13="Repo Rate",BMK_REPO,IF('Facility Master'!O13="FD rate",BMK_FD_RATE,IF('Facility Master'!O13="3M T-Bill",BMK_3M_TBILL,"-"))))))))),"-")</f>
        <v>0.09</v>
      </c>
      <c r="I14" s="130">
        <f>IFERROR('Facility Master'!P13*10000,"-")</f>
        <v>75</v>
      </c>
      <c r="J14" s="131">
        <f>'Facility Master'!Q13</f>
        <v>9.7500000000000003E-2</v>
      </c>
      <c r="K14" s="130" t="str">
        <f>IF('Facility Master'!R13="Floating","Quarterly",IF('Facility Master'!R13="Fixed","N/A",IF('Facility Master'!R13="TBD","TBD","N/A")))</f>
        <v>N/A</v>
      </c>
      <c r="L14" s="130" t="s">
        <v>228</v>
      </c>
      <c r="M14" s="130" t="str">
        <f>'Facility Master'!AE13</f>
        <v>Debt-equity 40:60 for TL-funded capex. Rate TBD. | Validity rolled +1 year (orig: 2025-12-31) per Assumption #12: annual-renewal WC facilities presumed operationally renewed. Confirm with relationship manager.</v>
      </c>
      <c r="N14" s="130" t="str">
        <f>IF('Facility Master'!Q13=0,IF('Facility Master'!R13="TBD","⚠ Rate TBD","⚠ Rate Missing"),IF('Facility Master'!R13="Floating (Indicative)","⚠ Indicative","✓ Confirmed"))</f>
        <v>⚠ Indicative</v>
      </c>
    </row>
    <row r="15" spans="1:14" ht="224.4" x14ac:dyDescent="0.3">
      <c r="A15" s="129"/>
      <c r="B15" s="132">
        <f>'Facility Master'!B14</f>
        <v>10</v>
      </c>
      <c r="C15" s="132" t="str">
        <f>'Facility Master'!C14</f>
        <v>RBL Bank</v>
      </c>
      <c r="D15" s="132" t="str">
        <f>'Facility Master'!D14</f>
        <v>SBLC for Buyer's Credit (GIFT City)</v>
      </c>
      <c r="E15" s="132" t="str">
        <f>'Facility Master'!E14</f>
        <v>NFB</v>
      </c>
      <c r="F15" s="132" t="str">
        <f>'Facility Master'!R14</f>
        <v>Fixed</v>
      </c>
      <c r="G15" s="132" t="str">
        <f>'Facility Master'!O14</f>
        <v>Fixed commission</v>
      </c>
      <c r="H15" s="132" t="str">
        <f>IFERROR(IF('Facility Master'!O14="1Y MCLR (RBL Bank)",BMK_1Y_MCLR_RBL,IF('Facility Master'!O14="3M MCLR (YBL)",BMK_3M_MCLR_YBL,IF('Facility Master'!O14="6M I-MCLR (ICICI)",BMK_6M_IMCLR_ICICI,IF('Facility Master'!O14="12M MCLR (SIB)",BMK_12M_MCLR_SIB,IF('Facility Master'!O14="Bajaj Floating Reference Rate (BFRR)",BMK_BFRR,IF('Facility Master'!O14="Term SOFR (USD)",BMK_TERM_SOFR,IF('Facility Master'!O14="Repo Rate",BMK_REPO,IF('Facility Master'!O14="FD rate",BMK_FD_RATE,IF('Facility Master'!O14="3M T-Bill",BMK_3M_TBILL,"-"))))))))),"-")</f>
        <v>-</v>
      </c>
      <c r="I15" s="132" t="str">
        <f>IFERROR('Facility Master'!P14*10000,"-")</f>
        <v>-</v>
      </c>
      <c r="J15" s="133">
        <f>'Facility Master'!Q14</f>
        <v>5.0000000000000001E-3</v>
      </c>
      <c r="K15" s="132" t="str">
        <f>IF('Facility Master'!R14="Floating","Quarterly",IF('Facility Master'!R14="Fixed","N/A",IF('Facility Master'!R14="TBD","TBD","N/A")))</f>
        <v>N/A</v>
      </c>
      <c r="L15" s="132" t="s">
        <v>228</v>
      </c>
      <c r="M15" s="132" t="str">
        <f>'Facility Master'!AE14</f>
        <v>Limit increased 172 -&gt; 190 Cr on 31-Dec-2025. | Validity rolled +1 year (orig: 2025-11-30) per Assumption #12: annual-renewal WC facilities presumed operationally renewed. Confirm with relationship manager.</v>
      </c>
      <c r="N15" s="132" t="str">
        <f>IF('Facility Master'!Q14=0,IF('Facility Master'!R14="TBD","⚠ Rate TBD","⚠ Rate Missing"),IF('Facility Master'!R14="Floating (Indicative)","⚠ Indicative","✓ Confirmed"))</f>
        <v>✓ Confirmed</v>
      </c>
    </row>
    <row r="16" spans="1:14" ht="396" x14ac:dyDescent="0.3">
      <c r="A16" s="128"/>
      <c r="B16" s="130">
        <f>'Facility Master'!B15</f>
        <v>11</v>
      </c>
      <c r="C16" s="130" t="str">
        <f>'Facility Master'!C15</f>
        <v>RBL Bank</v>
      </c>
      <c r="D16" s="130" t="str">
        <f>'Facility Master'!D15</f>
        <v>Capex LC</v>
      </c>
      <c r="E16" s="130" t="str">
        <f>'Facility Master'!E15</f>
        <v>NFB</v>
      </c>
      <c r="F16" s="130" t="str">
        <f>'Facility Master'!R15</f>
        <v>Fixed</v>
      </c>
      <c r="G16" s="130" t="str">
        <f>'Facility Master'!O15</f>
        <v>Fixed commission</v>
      </c>
      <c r="H16" s="130" t="str">
        <f>IFERROR(IF('Facility Master'!O15="1Y MCLR (RBL Bank)",BMK_1Y_MCLR_RBL,IF('Facility Master'!O15="3M MCLR (YBL)",BMK_3M_MCLR_YBL,IF('Facility Master'!O15="6M I-MCLR (ICICI)",BMK_6M_IMCLR_ICICI,IF('Facility Master'!O15="12M MCLR (SIB)",BMK_12M_MCLR_SIB,IF('Facility Master'!O15="Bajaj Floating Reference Rate (BFRR)",BMK_BFRR,IF('Facility Master'!O15="Term SOFR (USD)",BMK_TERM_SOFR,IF('Facility Master'!O15="Repo Rate",BMK_REPO,IF('Facility Master'!O15="FD rate",BMK_FD_RATE,IF('Facility Master'!O15="3M T-Bill",BMK_3M_TBILL,"-"))))))))),"-")</f>
        <v>-</v>
      </c>
      <c r="I16" s="130" t="str">
        <f>IFERROR('Facility Master'!P15*10000,"-")</f>
        <v>-</v>
      </c>
      <c r="J16" s="131">
        <f>'Facility Master'!Q15</f>
        <v>5.0000000000000001E-3</v>
      </c>
      <c r="K16" s="130" t="str">
        <f>IF('Facility Master'!R15="Floating","Quarterly",IF('Facility Master'!R15="Fixed","N/A",IF('Facility Master'!R15="TBD","TBD","N/A")))</f>
        <v>N/A</v>
      </c>
      <c r="L16" s="130" t="s">
        <v>228</v>
      </c>
      <c r="M16" s="130" t="str">
        <f>'Facility Master'!AE15</f>
        <v>Originally 24-Jan-2024; converted revolving 28-Feb-2025. | Validity rolled +1 year (orig: 2025-11-30) per Assumption #12: annual-renewal WC facilities presumed operationally renewed. Confirm with relationship manager. | Commission TBD at disbursement per sanction letter. FD-backed LC typically carries nil-to-very-low commission (lender's own-FD collateral). Model shows 0.</v>
      </c>
      <c r="N16" s="130" t="str">
        <f>IF('Facility Master'!Q15=0,IF('Facility Master'!R15="TBD","⚠ Rate TBD","⚠ Rate Missing"),IF('Facility Master'!R15="Floating (Indicative)","⚠ Indicative","✓ Confirmed"))</f>
        <v>✓ Confirmed</v>
      </c>
    </row>
    <row r="17" spans="1:14" ht="211.2" x14ac:dyDescent="0.3">
      <c r="A17" s="129"/>
      <c r="B17" s="132">
        <f>'Facility Master'!B16</f>
        <v>12</v>
      </c>
      <c r="C17" s="132" t="str">
        <f>'Facility Master'!C16</f>
        <v>RBL Bank</v>
      </c>
      <c r="D17" s="132" t="str">
        <f>'Facility Master'!D16</f>
        <v>Overdraft backed by 100% FD (FDOD)</v>
      </c>
      <c r="E17" s="132" t="str">
        <f>'Facility Master'!E16</f>
        <v>FB-FDbacked</v>
      </c>
      <c r="F17" s="132" t="str">
        <f>'Facility Master'!R16</f>
        <v>Floating</v>
      </c>
      <c r="G17" s="132" t="str">
        <f>'Facility Master'!O16</f>
        <v>FD rate</v>
      </c>
      <c r="H17" s="134">
        <f>IFERROR(IF('Facility Master'!O16="1Y MCLR (RBL Bank)",BMK_1Y_MCLR_RBL,IF('Facility Master'!O16="3M MCLR (YBL)",BMK_3M_MCLR_YBL,IF('Facility Master'!O16="6M I-MCLR (ICICI)",BMK_6M_IMCLR_ICICI,IF('Facility Master'!O16="12M MCLR (SIB)",BMK_12M_MCLR_SIB,IF('Facility Master'!O16="Bajaj Floating Reference Rate (BFRR)",BMK_BFRR,IF('Facility Master'!O16="Term SOFR (USD)",BMK_TERM_SOFR,IF('Facility Master'!O16="Repo Rate",BMK_REPO,IF('Facility Master'!O16="FD rate",BMK_FD_RATE,IF('Facility Master'!O16="3M T-Bill",BMK_3M_TBILL,"-"))))))))),"-")</f>
        <v>0</v>
      </c>
      <c r="I17" s="132">
        <f>IFERROR('Facility Master'!P16*10000,"-")</f>
        <v>25</v>
      </c>
      <c r="J17" s="133">
        <f>'Facility Master'!Q16</f>
        <v>0</v>
      </c>
      <c r="K17" s="132" t="str">
        <f>IF('Facility Master'!R16="Floating","Quarterly",IF('Facility Master'!R16="Fixed","N/A",IF('Facility Master'!R16="TBD","TBD","N/A")))</f>
        <v>Quarterly</v>
      </c>
      <c r="L17" s="132" t="s">
        <v>228</v>
      </c>
      <c r="M17" s="132" t="str">
        <f>'Facility Master'!AE16</f>
        <v>Excluded from INR 300 Cr overall cap. | Validity rolled +1 year (orig: 2025-11-30) per Assumption #12: annual-renewal WC facilities presumed operationally renewed. Confirm with relationship manager.</v>
      </c>
      <c r="N17" s="132" t="str">
        <f>IF('Facility Master'!Q16=0,IF('Facility Master'!R16="TBD","⚠ Rate TBD","⚠ Rate Missing"),IF('Facility Master'!R16="Floating (Indicative)","⚠ Indicative","✓ Confirmed"))</f>
        <v>⚠ Rate Missing</v>
      </c>
    </row>
    <row r="18" spans="1:14" ht="211.2" x14ac:dyDescent="0.3">
      <c r="A18" s="128"/>
      <c r="B18" s="130">
        <f>'Facility Master'!B17</f>
        <v>13</v>
      </c>
      <c r="C18" s="130" t="str">
        <f>'Facility Master'!C17</f>
        <v>RBL Bank</v>
      </c>
      <c r="D18" s="130" t="str">
        <f>'Facility Master'!D17</f>
        <v>LC backed by 100% FD</v>
      </c>
      <c r="E18" s="130" t="str">
        <f>'Facility Master'!E17</f>
        <v>NFB-FDbacked</v>
      </c>
      <c r="F18" s="130" t="str">
        <f>'Facility Master'!R17</f>
        <v>TBD</v>
      </c>
      <c r="G18" s="130" t="str">
        <f>'Facility Master'!O17</f>
        <v>To be decided</v>
      </c>
      <c r="H18" s="130" t="str">
        <f>IFERROR(IF('Facility Master'!O17="1Y MCLR (RBL Bank)",BMK_1Y_MCLR_RBL,IF('Facility Master'!O17="3M MCLR (YBL)",BMK_3M_MCLR_YBL,IF('Facility Master'!O17="6M I-MCLR (ICICI)",BMK_6M_IMCLR_ICICI,IF('Facility Master'!O17="12M MCLR (SIB)",BMK_12M_MCLR_SIB,IF('Facility Master'!O17="Bajaj Floating Reference Rate (BFRR)",BMK_BFRR,IF('Facility Master'!O17="Term SOFR (USD)",BMK_TERM_SOFR,IF('Facility Master'!O17="Repo Rate",BMK_REPO,IF('Facility Master'!O17="FD rate",BMK_FD_RATE,IF('Facility Master'!O17="3M T-Bill",BMK_3M_TBILL,"-"))))))))),"-")</f>
        <v>-</v>
      </c>
      <c r="I18" s="130" t="str">
        <f>IFERROR('Facility Master'!P17*10000,"-")</f>
        <v>-</v>
      </c>
      <c r="J18" s="131">
        <f>'Facility Master'!Q17</f>
        <v>0</v>
      </c>
      <c r="K18" s="130" t="str">
        <f>IF('Facility Master'!R17="Floating","Quarterly",IF('Facility Master'!R17="Fixed","N/A",IF('Facility Master'!R17="TBD","TBD","N/A")))</f>
        <v>TBD</v>
      </c>
      <c r="L18" s="130" t="s">
        <v>228</v>
      </c>
      <c r="M18" s="130" t="str">
        <f>'Facility Master'!AE17</f>
        <v>Rate not specified in sanction letter. | Validity rolled +1 year (orig: 2025-11-30) per Assumption #12: annual-renewal WC facilities presumed operationally renewed. Confirm with relationship manager.</v>
      </c>
      <c r="N18" s="130" t="str">
        <f>IF('Facility Master'!Q17=0,IF('Facility Master'!R17="TBD","⚠ Rate TBD","⚠ Rate Missing"),IF('Facility Master'!R17="Floating (Indicative)","⚠ Indicative","✓ Confirmed"))</f>
        <v>⚠ Rate TBD</v>
      </c>
    </row>
    <row r="19" spans="1:14" ht="409.6" x14ac:dyDescent="0.3">
      <c r="A19" s="129"/>
      <c r="B19" s="132">
        <f>'Facility Master'!B18</f>
        <v>14</v>
      </c>
      <c r="C19" s="132" t="str">
        <f>'Facility Master'!C18</f>
        <v>RBL Bank</v>
      </c>
      <c r="D19" s="132" t="str">
        <f>'Facility Master'!D18</f>
        <v>Buyer's Credit from GIFT City - WC</v>
      </c>
      <c r="E19" s="132" t="str">
        <f>'Facility Master'!E18</f>
        <v>FB-FCY</v>
      </c>
      <c r="F19" s="132" t="str">
        <f>'Facility Master'!R18</f>
        <v>Floating</v>
      </c>
      <c r="G19" s="132" t="str">
        <f>'Facility Master'!O18</f>
        <v>Term SOFR (USD)</v>
      </c>
      <c r="H19" s="134">
        <f>IFERROR(IF('Facility Master'!O18="1Y MCLR (RBL Bank)",BMK_1Y_MCLR_RBL,IF('Facility Master'!O18="3M MCLR (YBL)",BMK_3M_MCLR_YBL,IF('Facility Master'!O18="6M I-MCLR (ICICI)",BMK_6M_IMCLR_ICICI,IF('Facility Master'!O18="12M MCLR (SIB)",BMK_12M_MCLR_SIB,IF('Facility Master'!O18="Bajaj Floating Reference Rate (BFRR)",BMK_BFRR,IF('Facility Master'!O18="Term SOFR (USD)",BMK_TERM_SOFR,IF('Facility Master'!O18="Repo Rate",BMK_REPO,IF('Facility Master'!O18="FD rate",BMK_FD_RATE,IF('Facility Master'!O18="3M T-Bill",BMK_3M_TBILL,"-"))))))))),"-")</f>
        <v>4.2999999999999997E-2</v>
      </c>
      <c r="I19" s="132" t="str">
        <f>IFERROR('Facility Master'!P18*10000,"-")</f>
        <v>-</v>
      </c>
      <c r="J19" s="133">
        <f>'Facility Master'!Q18</f>
        <v>0</v>
      </c>
      <c r="K19" s="132" t="str">
        <f>IF('Facility Master'!R18="Floating","Quarterly",IF('Facility Master'!R18="Fixed","N/A",IF('Facility Master'!R18="TBD","TBD","N/A")))</f>
        <v>Quarterly</v>
      </c>
      <c r="L19" s="132" t="s">
        <v>228</v>
      </c>
      <c r="M19" s="132" t="str">
        <f>'Facility Master'!AE18</f>
        <v>Total RBL exposure (incl. LER) capped at INR 100 Cr. | Sanctioned INR capped at ₹100 Cr per sanction letter (binding limit). USD sanctioned limit is USD 11M, but total RBL exposure ring-fenced at ₹100 Cr regardless of FX. Formula: =MIN(USD×FX/10, 100). | Validity rolled +1 year (orig: 2025-11-30) per Assumption #12: annual-renewal WC facilities presumed operationally renewed. Confirm with relationship manager. | LC commission unspecified in sanction letter ('applicable commission plus taxes'). Model shows 0 pending confirmation from RM. Typical market rate for sub-180-day inland LC is 0.40%-0.60% p.a. Update Facility Master Q18 when confirmed.</v>
      </c>
      <c r="N19" s="132" t="str">
        <f>IF('Facility Master'!Q18=0,IF('Facility Master'!R18="TBD","⚠ Rate TBD","⚠ Rate Missing"),IF('Facility Master'!R18="Floating (Indicative)","⚠ Indicative","✓ Confirmed"))</f>
        <v>⚠ Rate Missing</v>
      </c>
    </row>
    <row r="20" spans="1:14" ht="409.6" x14ac:dyDescent="0.3">
      <c r="A20" s="128"/>
      <c r="B20" s="130">
        <f>'Facility Master'!B19</f>
        <v>15</v>
      </c>
      <c r="C20" s="130" t="str">
        <f>'Facility Master'!C19</f>
        <v>RBL Bank</v>
      </c>
      <c r="D20" s="130" t="str">
        <f>'Facility Master'!D19</f>
        <v>Buyer's Credit from GIFT City - CAPEX</v>
      </c>
      <c r="E20" s="130" t="str">
        <f>'Facility Master'!E19</f>
        <v>FB-FCY</v>
      </c>
      <c r="F20" s="130" t="str">
        <f>'Facility Master'!R19</f>
        <v>Floating</v>
      </c>
      <c r="G20" s="130" t="str">
        <f>'Facility Master'!O19</f>
        <v>Term SOFR (USD)</v>
      </c>
      <c r="H20" s="135">
        <f>IFERROR(IF('Facility Master'!O19="1Y MCLR (RBL Bank)",BMK_1Y_MCLR_RBL,IF('Facility Master'!O19="3M MCLR (YBL)",BMK_3M_MCLR_YBL,IF('Facility Master'!O19="6M I-MCLR (ICICI)",BMK_6M_IMCLR_ICICI,IF('Facility Master'!O19="12M MCLR (SIB)",BMK_12M_MCLR_SIB,IF('Facility Master'!O19="Bajaj Floating Reference Rate (BFRR)",BMK_BFRR,IF('Facility Master'!O19="Term SOFR (USD)",BMK_TERM_SOFR,IF('Facility Master'!O19="Repo Rate",BMK_REPO,IF('Facility Master'!O19="FD rate",BMK_FD_RATE,IF('Facility Master'!O19="3M T-Bill",BMK_3M_TBILL,"-"))))))))),"-")</f>
        <v>4.2999999999999997E-2</v>
      </c>
      <c r="I20" s="130" t="str">
        <f>IFERROR('Facility Master'!P19*10000,"-")</f>
        <v>-</v>
      </c>
      <c r="J20" s="131">
        <f>'Facility Master'!Q19</f>
        <v>0</v>
      </c>
      <c r="K20" s="130" t="str">
        <f>IF('Facility Master'!R19="Floating","Quarterly",IF('Facility Master'!R19="Fixed","N/A",IF('Facility Master'!R19="TBD","TBD","N/A")))</f>
        <v>Quarterly</v>
      </c>
      <c r="L20" s="130" t="s">
        <v>228</v>
      </c>
      <c r="M20" s="130" t="str">
        <f>'Facility Master'!AE19</f>
        <v>Total RBL exposure capped at INR 172 Cr (implied FX ~86). | Sanctioned INR capped at ₹172 Cr per sanction letter (binding limit). USD sanctioned limit is USD 20M, but total RBL exposure ring-fenced at ₹172 Cr regardless of FX. Formula: =MIN(USD×FX/10, 172). | Validity rolled +1 year (orig: 2025-11-30) per Assumption #12: annual-renewal WC facilities presumed operationally renewed. Confirm with relationship manager.</v>
      </c>
      <c r="N20" s="130" t="str">
        <f>IF('Facility Master'!Q19=0,IF('Facility Master'!R19="TBD","⚠ Rate TBD","⚠ Rate Missing"),IF('Facility Master'!R19="Floating (Indicative)","⚠ Indicative","✓ Confirmed"))</f>
        <v>⚠ Rate Missing</v>
      </c>
    </row>
    <row r="21" spans="1:14" ht="39.6" x14ac:dyDescent="0.3">
      <c r="A21" s="129"/>
      <c r="B21" s="132">
        <f>'Facility Master'!B20</f>
        <v>16</v>
      </c>
      <c r="C21" s="132" t="str">
        <f>'Facility Master'!C20</f>
        <v>YES Bank</v>
      </c>
      <c r="D21" s="132" t="str">
        <f>'Facility Master'!D20</f>
        <v>Purchase Invoice Financing</v>
      </c>
      <c r="E21" s="132" t="str">
        <f>'Facility Master'!E20</f>
        <v>FB</v>
      </c>
      <c r="F21" s="132" t="str">
        <f>'Facility Master'!R20</f>
        <v>TBD</v>
      </c>
      <c r="G21" s="132" t="str">
        <f>'Facility Master'!O20</f>
        <v>To be decided</v>
      </c>
      <c r="H21" s="132" t="str">
        <f>IFERROR(IF('Facility Master'!O20="1Y MCLR (RBL Bank)",BMK_1Y_MCLR_RBL,IF('Facility Master'!O20="3M MCLR (YBL)",BMK_3M_MCLR_YBL,IF('Facility Master'!O20="6M I-MCLR (ICICI)",BMK_6M_IMCLR_ICICI,IF('Facility Master'!O20="12M MCLR (SIB)",BMK_12M_MCLR_SIB,IF('Facility Master'!O20="Bajaj Floating Reference Rate (BFRR)",BMK_BFRR,IF('Facility Master'!O20="Term SOFR (USD)",BMK_TERM_SOFR,IF('Facility Master'!O20="Repo Rate",BMK_REPO,IF('Facility Master'!O20="FD rate",BMK_FD_RATE,IF('Facility Master'!O20="3M T-Bill",BMK_3M_TBILL,"-"))))))))),"-")</f>
        <v>-</v>
      </c>
      <c r="I21" s="132" t="str">
        <f>IFERROR('Facility Master'!P20*10000,"-")</f>
        <v>-</v>
      </c>
      <c r="J21" s="133">
        <f>'Facility Master'!Q20</f>
        <v>0</v>
      </c>
      <c r="K21" s="132" t="str">
        <f>IF('Facility Master'!R20="Floating","Quarterly",IF('Facility Master'!R20="Fixed","N/A",IF('Facility Master'!R20="TBD","TBD","N/A")))</f>
        <v>TBD</v>
      </c>
      <c r="L21" s="132" t="s">
        <v>228</v>
      </c>
      <c r="M21" s="132" t="str">
        <f>'Facility Master'!AE20</f>
        <v>New facility; Interest payable upfront.</v>
      </c>
      <c r="N21" s="132" t="str">
        <f>IF('Facility Master'!Q20=0,IF('Facility Master'!R20="TBD","⚠ Rate TBD","⚠ Rate Missing"),IF('Facility Master'!R20="Floating (Indicative)","⚠ Indicative","✓ Confirmed"))</f>
        <v>⚠ Rate TBD</v>
      </c>
    </row>
    <row r="22" spans="1:14" ht="79.2" x14ac:dyDescent="0.3">
      <c r="A22" s="128"/>
      <c r="B22" s="130">
        <f>'Facility Master'!B21</f>
        <v>17</v>
      </c>
      <c r="C22" s="130" t="str">
        <f>'Facility Master'!C21</f>
        <v>YES Bank</v>
      </c>
      <c r="D22" s="130" t="str">
        <f>'Facility Master'!D21</f>
        <v>Cash Credit</v>
      </c>
      <c r="E22" s="130" t="str">
        <f>'Facility Master'!E21</f>
        <v>FB</v>
      </c>
      <c r="F22" s="130" t="str">
        <f>'Facility Master'!R21</f>
        <v>Floating</v>
      </c>
      <c r="G22" s="130" t="str">
        <f>'Facility Master'!O21</f>
        <v>3M MCLR (YBL)</v>
      </c>
      <c r="H22" s="135">
        <f>IFERROR(IF('Facility Master'!O21="1Y MCLR (RBL Bank)",BMK_1Y_MCLR_RBL,IF('Facility Master'!O21="3M MCLR (YBL)",BMK_3M_MCLR_YBL,IF('Facility Master'!O21="6M I-MCLR (ICICI)",BMK_6M_IMCLR_ICICI,IF('Facility Master'!O21="12M MCLR (SIB)",BMK_12M_MCLR_SIB,IF('Facility Master'!O21="Bajaj Floating Reference Rate (BFRR)",BMK_BFRR,IF('Facility Master'!O21="Term SOFR (USD)",BMK_TERM_SOFR,IF('Facility Master'!O21="Repo Rate",BMK_REPO,IF('Facility Master'!O21="FD rate",BMK_FD_RATE,IF('Facility Master'!O21="3M T-Bill",BMK_3M_TBILL,"-"))))))))),"-")</f>
        <v>0.09</v>
      </c>
      <c r="I22" s="130">
        <f>IFERROR('Facility Master'!P21*10000,"-")</f>
        <v>7</v>
      </c>
      <c r="J22" s="131">
        <f>'Facility Master'!Q21</f>
        <v>9.0700000000000003E-2</v>
      </c>
      <c r="K22" s="130" t="str">
        <f>IF('Facility Master'!R21="Floating","Quarterly",IF('Facility Master'!R21="Fixed","N/A",IF('Facility Master'!R21="TBD","TBD","N/A")))</f>
        <v>Quarterly</v>
      </c>
      <c r="L22" s="130" t="s">
        <v>228</v>
      </c>
      <c r="M22" s="130" t="str">
        <f>'Facility Master'!AE21</f>
        <v>Pricing moved T-Bill+1.98% -&gt; 3M MCLR+0.07% on 19-Mar-2026.</v>
      </c>
      <c r="N22" s="130" t="str">
        <f>IF('Facility Master'!Q21=0,IF('Facility Master'!R21="TBD","⚠ Rate TBD","⚠ Rate Missing"),IF('Facility Master'!R21="Floating (Indicative)","⚠ Indicative","✓ Confirmed"))</f>
        <v>✓ Confirmed</v>
      </c>
    </row>
    <row r="23" spans="1:14" ht="237.6" x14ac:dyDescent="0.3">
      <c r="A23" s="129"/>
      <c r="B23" s="132">
        <f>'Facility Master'!B22</f>
        <v>18</v>
      </c>
      <c r="C23" s="132" t="str">
        <f>'Facility Master'!C22</f>
        <v>YES Bank</v>
      </c>
      <c r="D23" s="132" t="str">
        <f>'Facility Master'!D22</f>
        <v>Letter of Credit</v>
      </c>
      <c r="E23" s="132" t="str">
        <f>'Facility Master'!E22</f>
        <v>NFB</v>
      </c>
      <c r="F23" s="132" t="str">
        <f>'Facility Master'!R22</f>
        <v>Fixed</v>
      </c>
      <c r="G23" s="132" t="str">
        <f>'Facility Master'!O22</f>
        <v>Fixed commission</v>
      </c>
      <c r="H23" s="132" t="str">
        <f>IFERROR(IF('Facility Master'!O22="1Y MCLR (RBL Bank)",BMK_1Y_MCLR_RBL,IF('Facility Master'!O22="3M MCLR (YBL)",BMK_3M_MCLR_YBL,IF('Facility Master'!O22="6M I-MCLR (ICICI)",BMK_6M_IMCLR_ICICI,IF('Facility Master'!O22="12M MCLR (SIB)",BMK_12M_MCLR_SIB,IF('Facility Master'!O22="Bajaj Floating Reference Rate (BFRR)",BMK_BFRR,IF('Facility Master'!O22="Term SOFR (USD)",BMK_TERM_SOFR,IF('Facility Master'!O22="Repo Rate",BMK_REPO,IF('Facility Master'!O22="FD rate",BMK_FD_RATE,IF('Facility Master'!O22="3M T-Bill",BMK_3M_TBILL,"-"))))))))),"-")</f>
        <v>-</v>
      </c>
      <c r="I23" s="132" t="str">
        <f>IFERROR('Facility Master'!P22*10000,"-")</f>
        <v>-</v>
      </c>
      <c r="J23" s="133">
        <f>'Facility Master'!Q22</f>
        <v>0</v>
      </c>
      <c r="K23" s="132" t="str">
        <f>IF('Facility Master'!R22="Floating","Quarterly",IF('Facility Master'!R22="Fixed","N/A",IF('Facility Master'!R22="TBD","TBD","N/A")))</f>
        <v>N/A</v>
      </c>
      <c r="L23" s="132" t="s">
        <v>228</v>
      </c>
      <c r="M23" s="132" t="str">
        <f>'Facility Master'!AE22</f>
        <v>Overall WC cap INR 200 Cr net of receivable finance (INR 1 Cr). | Validity rolled +1 year (orig: 2026-03-26) per Assumption #12: annual-renewal WC facilities presumed operationally renewed. Confirm with relationship manager.</v>
      </c>
      <c r="N23" s="132" t="str">
        <f>IF('Facility Master'!Q22=0,IF('Facility Master'!R22="TBD","⚠ Rate TBD","⚠ Rate Missing"),IF('Facility Master'!R22="Floating (Indicative)","⚠ Indicative","✓ Confirmed"))</f>
        <v>⚠ Rate Missing</v>
      </c>
    </row>
    <row r="24" spans="1:14" ht="39.6" x14ac:dyDescent="0.3">
      <c r="A24" s="128"/>
      <c r="B24" s="130">
        <f>'Facility Master'!B23</f>
        <v>19</v>
      </c>
      <c r="C24" s="130" t="str">
        <f>'Facility Master'!C23</f>
        <v>YES Bank</v>
      </c>
      <c r="D24" s="130" t="str">
        <f>'Facility Master'!D23</f>
        <v>Financial BG / SBLC</v>
      </c>
      <c r="E24" s="130" t="str">
        <f>'Facility Master'!E23</f>
        <v>NFB</v>
      </c>
      <c r="F24" s="130" t="str">
        <f>'Facility Master'!R23</f>
        <v>Fixed</v>
      </c>
      <c r="G24" s="130" t="str">
        <f>'Facility Master'!O23</f>
        <v>Fixed commission</v>
      </c>
      <c r="H24" s="130" t="str">
        <f>IFERROR(IF('Facility Master'!O23="1Y MCLR (RBL Bank)",BMK_1Y_MCLR_RBL,IF('Facility Master'!O23="3M MCLR (YBL)",BMK_3M_MCLR_YBL,IF('Facility Master'!O23="6M I-MCLR (ICICI)",BMK_6M_IMCLR_ICICI,IF('Facility Master'!O23="12M MCLR (SIB)",BMK_12M_MCLR_SIB,IF('Facility Master'!O23="Bajaj Floating Reference Rate (BFRR)",BMK_BFRR,IF('Facility Master'!O23="Term SOFR (USD)",BMK_TERM_SOFR,IF('Facility Master'!O23="Repo Rate",BMK_REPO,IF('Facility Master'!O23="FD rate",BMK_FD_RATE,IF('Facility Master'!O23="3M T-Bill",BMK_3M_TBILL,"-"))))))))),"-")</f>
        <v>-</v>
      </c>
      <c r="I24" s="130" t="str">
        <f>IFERROR('Facility Master'!P23*10000,"-")</f>
        <v>-</v>
      </c>
      <c r="J24" s="131">
        <f>'Facility Master'!Q23</f>
        <v>5.0000000000000001E-3</v>
      </c>
      <c r="K24" s="130" t="str">
        <f>IF('Facility Master'!R23="Floating","Quarterly",IF('Facility Master'!R23="Fixed","N/A",IF('Facility Master'!R23="TBD","TBD","N/A")))</f>
        <v>N/A</v>
      </c>
      <c r="L24" s="130" t="s">
        <v>228</v>
      </c>
      <c r="M24" s="130" t="str">
        <f>'Facility Master'!AE23</f>
        <v>Commission cut 25 bps on 19-Mar-2026.</v>
      </c>
      <c r="N24" s="130" t="str">
        <f>IF('Facility Master'!Q23=0,IF('Facility Master'!R23="TBD","⚠ Rate TBD","⚠ Rate Missing"),IF('Facility Master'!R23="Floating (Indicative)","⚠ Indicative","✓ Confirmed"))</f>
        <v>✓ Confirmed</v>
      </c>
    </row>
    <row r="25" spans="1:14" ht="39.6" x14ac:dyDescent="0.3">
      <c r="A25" s="129"/>
      <c r="B25" s="132">
        <f>'Facility Master'!B24</f>
        <v>20</v>
      </c>
      <c r="C25" s="132" t="str">
        <f>'Facility Master'!C24</f>
        <v>YES Bank</v>
      </c>
      <c r="D25" s="132" t="str">
        <f>'Facility Master'!D24</f>
        <v>Working Capital Demand Loan (WCDL)</v>
      </c>
      <c r="E25" s="132" t="str">
        <f>'Facility Master'!E24</f>
        <v>FB</v>
      </c>
      <c r="F25" s="132" t="str">
        <f>'Facility Master'!R24</f>
        <v>TBD</v>
      </c>
      <c r="G25" s="132" t="str">
        <f>'Facility Master'!O24</f>
        <v>To be decided</v>
      </c>
      <c r="H25" s="132" t="str">
        <f>IFERROR(IF('Facility Master'!O24="1Y MCLR (RBL Bank)",BMK_1Y_MCLR_RBL,IF('Facility Master'!O24="3M MCLR (YBL)",BMK_3M_MCLR_YBL,IF('Facility Master'!O24="6M I-MCLR (ICICI)",BMK_6M_IMCLR_ICICI,IF('Facility Master'!O24="12M MCLR (SIB)",BMK_12M_MCLR_SIB,IF('Facility Master'!O24="Bajaj Floating Reference Rate (BFRR)",BMK_BFRR,IF('Facility Master'!O24="Term SOFR (USD)",BMK_TERM_SOFR,IF('Facility Master'!O24="Repo Rate",BMK_REPO,IF('Facility Master'!O24="FD rate",BMK_FD_RATE,IF('Facility Master'!O24="3M T-Bill",BMK_3M_TBILL,"-"))))))))),"-")</f>
        <v>-</v>
      </c>
      <c r="I25" s="132" t="str">
        <f>IFERROR('Facility Master'!P24*10000,"-")</f>
        <v>-</v>
      </c>
      <c r="J25" s="133">
        <f>'Facility Master'!Q24</f>
        <v>0</v>
      </c>
      <c r="K25" s="132" t="str">
        <f>IF('Facility Master'!R24="Floating","Quarterly",IF('Facility Master'!R24="Fixed","N/A",IF('Facility Master'!R24="TBD","TBD","N/A")))</f>
        <v>TBD</v>
      </c>
      <c r="L25" s="132" t="s">
        <v>228</v>
      </c>
      <c r="M25" s="132" t="str">
        <f>'Facility Master'!AE24</f>
        <v>Min utilisation covenant: 40% of YBL limits.</v>
      </c>
      <c r="N25" s="132" t="str">
        <f>IF('Facility Master'!Q24=0,IF('Facility Master'!R24="TBD","⚠ Rate TBD","⚠ Rate Missing"),IF('Facility Master'!R24="Floating (Indicative)","⚠ Indicative","✓ Confirmed"))</f>
        <v>⚠ Rate TBD</v>
      </c>
    </row>
    <row r="26" spans="1:14" ht="409.6" x14ac:dyDescent="0.3">
      <c r="A26" s="128"/>
      <c r="B26" s="130">
        <f>'Facility Master'!B25</f>
        <v>21</v>
      </c>
      <c r="C26" s="130" t="str">
        <f>'Facility Master'!C25</f>
        <v>YES Bank</v>
      </c>
      <c r="D26" s="130" t="str">
        <f>'Facility Master'!D25</f>
        <v>Term Loan (Refinance Canara)</v>
      </c>
      <c r="E26" s="130" t="str">
        <f>'Facility Master'!E25</f>
        <v>FB-Term</v>
      </c>
      <c r="F26" s="130" t="str">
        <f>'Facility Master'!R25</f>
        <v>Floating</v>
      </c>
      <c r="G26" s="130" t="str">
        <f>'Facility Master'!O25</f>
        <v>3M T-Bill</v>
      </c>
      <c r="H26" s="135">
        <f>IFERROR(IF('Facility Master'!O25="1Y MCLR (RBL Bank)",BMK_1Y_MCLR_RBL,IF('Facility Master'!O25="3M MCLR (YBL)",BMK_3M_MCLR_YBL,IF('Facility Master'!O25="6M I-MCLR (ICICI)",BMK_6M_IMCLR_ICICI,IF('Facility Master'!O25="12M MCLR (SIB)",BMK_12M_MCLR_SIB,IF('Facility Master'!O25="Bajaj Floating Reference Rate (BFRR)",BMK_BFRR,IF('Facility Master'!O25="Term SOFR (USD)",BMK_TERM_SOFR,IF('Facility Master'!O25="Repo Rate",BMK_REPO,IF('Facility Master'!O25="FD rate",BMK_FD_RATE,IF('Facility Master'!O25="3M T-Bill",BMK_3M_TBILL,"-"))))))))),"-")</f>
        <v>5.1799999999999999E-2</v>
      </c>
      <c r="I26" s="130">
        <f>IFERROR('Facility Master'!P25*10000,"-")</f>
        <v>252</v>
      </c>
      <c r="J26" s="131">
        <f>'Facility Master'!Q25</f>
        <v>7.6999999999999999E-2</v>
      </c>
      <c r="K26" s="130" t="str">
        <f>IF('Facility Master'!R25="Floating","Quarterly",IF('Facility Master'!R25="Fixed","N/A",IF('Facility Master'!R25="TBD","TBD","N/A")))</f>
        <v>Quarterly</v>
      </c>
      <c r="L26" s="130" t="s">
        <v>228</v>
      </c>
      <c r="M26" s="130" t="str">
        <f>'Facility Master'!AE25</f>
        <v>Spread 2.45% -&gt; 2.52% on 28-Mar-2025. FF 0.45% of TL. | Maturity hardcoded to 30-Sep-2036 per sanction letter final-repayment clause (overrides EDATE(drawdown, 146m) calc which gives 16-Feb-2037). 47 quarterly instalments over 141 months from drawdown 16-Dec-2024 end on 30-Sep-2036. | Validity rolled +1 year (orig: 2025-08-19) per Assumption #12: annual-renewal WC facilities presumed operationally renewed. Confirm with relationship manager. | RepStart hardcoded to 31-Mar-2025 (first quarterly instalment per sanction-letter dates: 30-Jun/30-Sep/31-Dec/31-Mar). 47 quarterly instalments from 31-Mar-2025 end on 30-Sep-2036. | ⚠ ASSUMPTION: Modelled as 47 EQI of ₹6.82 Cr. Sanction letter (16-Dec-2024) specifies 'quarterly instalments' without explicitly stating 'equal'. Mentor's standalone model uses graduated/back-loaded schedule with face ₹306.59 Cr. Confirm with Paras Sir which schedule binding. If graduated, update Repayment Schedule rows 71-125.</v>
      </c>
      <c r="N26" s="130" t="str">
        <f>IF('Facility Master'!Q25=0,IF('Facility Master'!R25="TBD","⚠ Rate TBD","⚠ Rate Missing"),IF('Facility Master'!R25="Floating (Indicative)","⚠ Indicative","✓ Confirmed"))</f>
        <v>✓ Confirmed</v>
      </c>
    </row>
    <row r="27" spans="1:14" ht="237.6" x14ac:dyDescent="0.3">
      <c r="A27" s="129"/>
      <c r="B27" s="132">
        <f>'Facility Master'!B26</f>
        <v>22</v>
      </c>
      <c r="C27" s="132" t="str">
        <f>'Facility Master'!C26</f>
        <v>Bajaj Finance</v>
      </c>
      <c r="D27" s="132" t="str">
        <f>'Facility Master'!D26</f>
        <v>Term Loan</v>
      </c>
      <c r="E27" s="132" t="str">
        <f>'Facility Master'!E26</f>
        <v>FB-Term</v>
      </c>
      <c r="F27" s="132" t="str">
        <f>'Facility Master'!R26</f>
        <v>Floating</v>
      </c>
      <c r="G27" s="132" t="str">
        <f>'Facility Master'!O26</f>
        <v>Bajaj Floating Reference Rate (BFRR)</v>
      </c>
      <c r="H27" s="134">
        <f>IFERROR(IF('Facility Master'!O26="1Y MCLR (RBL Bank)",BMK_1Y_MCLR_RBL,IF('Facility Master'!O26="3M MCLR (YBL)",BMK_3M_MCLR_YBL,IF('Facility Master'!O26="6M I-MCLR (ICICI)",BMK_6M_IMCLR_ICICI,IF('Facility Master'!O26="12M MCLR (SIB)",BMK_12M_MCLR_SIB,IF('Facility Master'!O26="Bajaj Floating Reference Rate (BFRR)",BMK_BFRR,IF('Facility Master'!O26="Term SOFR (USD)",BMK_TERM_SOFR,IF('Facility Master'!O26="Repo Rate",BMK_REPO,IF('Facility Master'!O26="FD rate",BMK_FD_RATE,IF('Facility Master'!O26="3M T-Bill",BMK_3M_TBILL,"-"))))))))),"-")</f>
        <v>8.5000000000000006E-2</v>
      </c>
      <c r="I27" s="132">
        <f>IFERROR('Facility Master'!P26*10000,"-")</f>
        <v>10</v>
      </c>
      <c r="J27" s="133">
        <f>'Facility Master'!Q26</f>
        <v>8.6000000000000007E-2</v>
      </c>
      <c r="K27" s="132" t="str">
        <f>IF('Facility Master'!R26="Floating","Quarterly",IF('Facility Master'!R26="Fixed","N/A",IF('Facility Master'!R26="TBD","TBD","N/A")))</f>
        <v>Quarterly</v>
      </c>
      <c r="L27" s="132" t="s">
        <v>228</v>
      </c>
      <c r="M27" s="132" t="str">
        <f>'Facility Master'!AE26</f>
        <v>Floating; quarterly reset; WDV basis. No prepayment till 30-Sep-2026. | Validity rolled +1 year (orig: 2025-08-31) per Assumption #12: annual-renewal WC facilities presumed operationally renewed. Confirm with relationship manager.</v>
      </c>
      <c r="N27" s="132" t="str">
        <f>IF('Facility Master'!Q26=0,IF('Facility Master'!R26="TBD","⚠ Rate TBD","⚠ Rate Missing"),IF('Facility Master'!R26="Floating (Indicative)","⚠ Indicative","✓ Confirmed"))</f>
        <v>✓ Confirmed</v>
      </c>
    </row>
    <row r="28" spans="1:14" ht="66" x14ac:dyDescent="0.3">
      <c r="A28" s="128"/>
      <c r="B28" s="130">
        <f>'Facility Master'!B27</f>
        <v>23</v>
      </c>
      <c r="C28" s="130" t="str">
        <f>'Facility Master'!C27</f>
        <v>ICICI Bank</v>
      </c>
      <c r="D28" s="130" t="str">
        <f>'Facility Master'!D27</f>
        <v>Cash Credit</v>
      </c>
      <c r="E28" s="130" t="str">
        <f>'Facility Master'!E27</f>
        <v>FB</v>
      </c>
      <c r="F28" s="130" t="str">
        <f>'Facility Master'!R27</f>
        <v>Floating</v>
      </c>
      <c r="G28" s="130" t="str">
        <f>'Facility Master'!O27</f>
        <v>6M I-MCLR (ICICI)</v>
      </c>
      <c r="H28" s="135">
        <f>IFERROR(IF('Facility Master'!O27="1Y MCLR (RBL Bank)",BMK_1Y_MCLR_RBL,IF('Facility Master'!O27="3M MCLR (YBL)",BMK_3M_MCLR_YBL,IF('Facility Master'!O27="6M I-MCLR (ICICI)",BMK_6M_IMCLR_ICICI,IF('Facility Master'!O27="12M MCLR (SIB)",BMK_12M_MCLR_SIB,IF('Facility Master'!O27="Bajaj Floating Reference Rate (BFRR)",BMK_BFRR,IF('Facility Master'!O27="Term SOFR (USD)",BMK_TERM_SOFR,IF('Facility Master'!O27="Repo Rate",BMK_REPO,IF('Facility Master'!O27="FD rate",BMK_FD_RATE,IF('Facility Master'!O27="3M T-Bill",BMK_3M_TBILL,"-"))))))))),"-")</f>
        <v>8.3000000000000004E-2</v>
      </c>
      <c r="I28" s="130">
        <f>IFERROR('Facility Master'!P27*10000,"-")</f>
        <v>45</v>
      </c>
      <c r="J28" s="131">
        <f>'Facility Master'!Q27</f>
        <v>8.7500000000000008E-2</v>
      </c>
      <c r="K28" s="130" t="str">
        <f>IF('Facility Master'!R27="Floating","Quarterly",IF('Facility Master'!R27="Fixed","N/A",IF('Facility Master'!R27="TBD","TBD","N/A")))</f>
        <v>Quarterly</v>
      </c>
      <c r="L28" s="130" t="s">
        <v>228</v>
      </c>
      <c r="M28" s="130" t="str">
        <f>'Facility Master'!AE27</f>
        <v>Reset 6 monthly; one-way interchangeability CC-&gt;LC.</v>
      </c>
      <c r="N28" s="130" t="str">
        <f>IF('Facility Master'!Q27=0,IF('Facility Master'!R27="TBD","⚠ Rate TBD","⚠ Rate Missing"),IF('Facility Master'!R27="Floating (Indicative)","⚠ Indicative","✓ Confirmed"))</f>
        <v>✓ Confirmed</v>
      </c>
    </row>
    <row r="29" spans="1:14" ht="303.60000000000002" x14ac:dyDescent="0.3">
      <c r="A29" s="129"/>
      <c r="B29" s="132">
        <f>'Facility Master'!B28</f>
        <v>24</v>
      </c>
      <c r="C29" s="132" t="str">
        <f>'Facility Master'!C28</f>
        <v>ICICI Bank</v>
      </c>
      <c r="D29" s="132" t="str">
        <f>'Facility Master'!D28</f>
        <v>Working Capital Demand Loan (WCDL)</v>
      </c>
      <c r="E29" s="132" t="str">
        <f>'Facility Master'!E28</f>
        <v>FB</v>
      </c>
      <c r="F29" s="132" t="str">
        <f>'Facility Master'!R28</f>
        <v>Floating</v>
      </c>
      <c r="G29" s="132" t="str">
        <f>'Facility Master'!O28</f>
        <v>Repo Rate</v>
      </c>
      <c r="H29" s="134">
        <f>IFERROR(IF('Facility Master'!O28="1Y MCLR (RBL Bank)",BMK_1Y_MCLR_RBL,IF('Facility Master'!O28="3M MCLR (YBL)",BMK_3M_MCLR_YBL,IF('Facility Master'!O28="6M I-MCLR (ICICI)",BMK_6M_IMCLR_ICICI,IF('Facility Master'!O28="12M MCLR (SIB)",BMK_12M_MCLR_SIB,IF('Facility Master'!O28="Bajaj Floating Reference Rate (BFRR)",BMK_BFRR,IF('Facility Master'!O28="Term SOFR (USD)",BMK_TERM_SOFR,IF('Facility Master'!O28="Repo Rate",BMK_REPO,IF('Facility Master'!O28="FD rate",BMK_FD_RATE,IF('Facility Master'!O28="3M T-Bill",BMK_3M_TBILL,"-"))))))))),"-")</f>
        <v>5.2499999999999998E-2</v>
      </c>
      <c r="I29" s="132" t="str">
        <f>IFERROR('Facility Master'!P28*10000,"-")</f>
        <v>-</v>
      </c>
      <c r="J29" s="133">
        <f>'Facility Master'!Q28</f>
        <v>5.2499999999999998E-2</v>
      </c>
      <c r="K29" s="132" t="str">
        <f>IF('Facility Master'!R28="Floating","Quarterly",IF('Facility Master'!R28="Fixed","N/A",IF('Facility Master'!R28="TBD","TBD","N/A")))</f>
        <v>Quarterly</v>
      </c>
      <c r="L29" s="132" t="s">
        <v>228</v>
      </c>
      <c r="M29" s="132" t="str">
        <f>'Facility Master'!AE28</f>
        <v>Repo reset 15D/1M/3M by tenor. 0.50% prepayment premium. | ⚠ RATE INCOMPLETE: 5.25% reflects Repo only. Spread TBD at drawdown per sanction letter (16-Sep-2025). Market convention for WCDL above Repo: 50-100 bps spread. Update Q28 / column P28 when actual rate confirmed by ICICI RM.</v>
      </c>
      <c r="N29" s="132" t="str">
        <f>IF('Facility Master'!Q28=0,IF('Facility Master'!R28="TBD","⚠ Rate TBD","⚠ Rate Missing"),IF('Facility Master'!R28="Floating (Indicative)","⚠ Indicative","✓ Confirmed"))</f>
        <v>✓ Confirmed</v>
      </c>
    </row>
    <row r="30" spans="1:14" ht="66" x14ac:dyDescent="0.3">
      <c r="A30" s="128"/>
      <c r="B30" s="130">
        <f>'Facility Master'!B29</f>
        <v>25</v>
      </c>
      <c r="C30" s="130" t="str">
        <f>'Facility Master'!C29</f>
        <v>ICICI Bank</v>
      </c>
      <c r="D30" s="130" t="str">
        <f>'Facility Master'!D29</f>
        <v>Letter of Credit (Inland/Foreign)</v>
      </c>
      <c r="E30" s="130" t="str">
        <f>'Facility Master'!E29</f>
        <v>NFB</v>
      </c>
      <c r="F30" s="130" t="str">
        <f>'Facility Master'!R29</f>
        <v>Fixed</v>
      </c>
      <c r="G30" s="130" t="str">
        <f>'Facility Master'!O29</f>
        <v>Fixed commission</v>
      </c>
      <c r="H30" s="130" t="str">
        <f>IFERROR(IF('Facility Master'!O29="1Y MCLR (RBL Bank)",BMK_1Y_MCLR_RBL,IF('Facility Master'!O29="3M MCLR (YBL)",BMK_3M_MCLR_YBL,IF('Facility Master'!O29="6M I-MCLR (ICICI)",BMK_6M_IMCLR_ICICI,IF('Facility Master'!O29="12M MCLR (SIB)",BMK_12M_MCLR_SIB,IF('Facility Master'!O29="Bajaj Floating Reference Rate (BFRR)",BMK_BFRR,IF('Facility Master'!O29="Term SOFR (USD)",BMK_TERM_SOFR,IF('Facility Master'!O29="Repo Rate",BMK_REPO,IF('Facility Master'!O29="FD rate",BMK_FD_RATE,IF('Facility Master'!O29="3M T-Bill",BMK_3M_TBILL,"-"))))))))),"-")</f>
        <v>-</v>
      </c>
      <c r="I30" s="130" t="str">
        <f>IFERROR('Facility Master'!P29*10000,"-")</f>
        <v>-</v>
      </c>
      <c r="J30" s="131">
        <f>'Facility Master'!Q29</f>
        <v>5.0000000000000001E-3</v>
      </c>
      <c r="K30" s="130" t="str">
        <f>IF('Facility Master'!R29="Floating","Quarterly",IF('Facility Master'!R29="Fixed","N/A",IF('Facility Master'!R29="TBD","TBD","N/A")))</f>
        <v>N/A</v>
      </c>
      <c r="L30" s="130" t="s">
        <v>228</v>
      </c>
      <c r="M30" s="130" t="str">
        <f>'Facility Master'!AE29</f>
        <v>LC to JSL Global Commodities Pte Ltd capped at INR 25 Cr.</v>
      </c>
      <c r="N30" s="130" t="str">
        <f>IF('Facility Master'!Q29=0,IF('Facility Master'!R29="TBD","⚠ Rate TBD","⚠ Rate Missing"),IF('Facility Master'!R29="Floating (Indicative)","⚠ Indicative","✓ Confirmed"))</f>
        <v>✓ Confirmed</v>
      </c>
    </row>
    <row r="31" spans="1:14" ht="52.8" x14ac:dyDescent="0.3">
      <c r="A31" s="129"/>
      <c r="B31" s="132">
        <f>'Facility Master'!B30</f>
        <v>26</v>
      </c>
      <c r="C31" s="132" t="str">
        <f>'Facility Master'!C30</f>
        <v>ICICI Bank</v>
      </c>
      <c r="D31" s="132" t="str">
        <f>'Facility Master'!D30</f>
        <v>SBLC for Buyers' Credit</v>
      </c>
      <c r="E31" s="132" t="str">
        <f>'Facility Master'!E30</f>
        <v>NFB</v>
      </c>
      <c r="F31" s="132" t="str">
        <f>'Facility Master'!R30</f>
        <v>Fixed</v>
      </c>
      <c r="G31" s="132" t="str">
        <f>'Facility Master'!O30</f>
        <v>Fixed commission</v>
      </c>
      <c r="H31" s="132" t="str">
        <f>IFERROR(IF('Facility Master'!O30="1Y MCLR (RBL Bank)",BMK_1Y_MCLR_RBL,IF('Facility Master'!O30="3M MCLR (YBL)",BMK_3M_MCLR_YBL,IF('Facility Master'!O30="6M I-MCLR (ICICI)",BMK_6M_IMCLR_ICICI,IF('Facility Master'!O30="12M MCLR (SIB)",BMK_12M_MCLR_SIB,IF('Facility Master'!O30="Bajaj Floating Reference Rate (BFRR)",BMK_BFRR,IF('Facility Master'!O30="Term SOFR (USD)",BMK_TERM_SOFR,IF('Facility Master'!O30="Repo Rate",BMK_REPO,IF('Facility Master'!O30="FD rate",BMK_FD_RATE,IF('Facility Master'!O30="3M T-Bill",BMK_3M_TBILL,"-"))))))))),"-")</f>
        <v>-</v>
      </c>
      <c r="I31" s="132" t="str">
        <f>IFERROR('Facility Master'!P30*10000,"-")</f>
        <v>-</v>
      </c>
      <c r="J31" s="133">
        <f>'Facility Master'!Q30</f>
        <v>5.0000000000000001E-3</v>
      </c>
      <c r="K31" s="132" t="str">
        <f>IF('Facility Master'!R30="Floating","Quarterly",IF('Facility Master'!R30="Fixed","N/A",IF('Facility Master'!R30="TBD","TBD","N/A")))</f>
        <v>N/A</v>
      </c>
      <c r="L31" s="132" t="s">
        <v>228</v>
      </c>
      <c r="M31" s="132" t="str">
        <f>'Facility Master'!AE30</f>
        <v>Excluded from DP; no rollover beyond RBI guidelines.</v>
      </c>
      <c r="N31" s="132" t="str">
        <f>IF('Facility Master'!Q30=0,IF('Facility Master'!R30="TBD","⚠ Rate TBD","⚠ Rate Missing"),IF('Facility Master'!R30="Floating (Indicative)","⚠ Indicative","✓ Confirmed"))</f>
        <v>✓ Confirmed</v>
      </c>
    </row>
    <row r="32" spans="1:14" ht="52.8" x14ac:dyDescent="0.3">
      <c r="A32" s="128"/>
      <c r="B32" s="130">
        <f>'Facility Master'!B31</f>
        <v>27</v>
      </c>
      <c r="C32" s="130" t="str">
        <f>'Facility Master'!C31</f>
        <v>ICICI Bank</v>
      </c>
      <c r="D32" s="130" t="str">
        <f>'Facility Master'!D31</f>
        <v>Bank Guarantee - Performance</v>
      </c>
      <c r="E32" s="130" t="str">
        <f>'Facility Master'!E31</f>
        <v>NFB</v>
      </c>
      <c r="F32" s="130" t="str">
        <f>'Facility Master'!R31</f>
        <v>Fixed</v>
      </c>
      <c r="G32" s="130" t="str">
        <f>'Facility Master'!O31</f>
        <v>Fixed commission</v>
      </c>
      <c r="H32" s="130" t="str">
        <f>IFERROR(IF('Facility Master'!O31="1Y MCLR (RBL Bank)",BMK_1Y_MCLR_RBL,IF('Facility Master'!O31="3M MCLR (YBL)",BMK_3M_MCLR_YBL,IF('Facility Master'!O31="6M I-MCLR (ICICI)",BMK_6M_IMCLR_ICICI,IF('Facility Master'!O31="12M MCLR (SIB)",BMK_12M_MCLR_SIB,IF('Facility Master'!O31="Bajaj Floating Reference Rate (BFRR)",BMK_BFRR,IF('Facility Master'!O31="Term SOFR (USD)",BMK_TERM_SOFR,IF('Facility Master'!O31="Repo Rate",BMK_REPO,IF('Facility Master'!O31="FD rate",BMK_FD_RATE,IF('Facility Master'!O31="3M T-Bill",BMK_3M_TBILL,"-"))))))))),"-")</f>
        <v>-</v>
      </c>
      <c r="I32" s="130" t="str">
        <f>IFERROR('Facility Master'!P31*10000,"-")</f>
        <v>-</v>
      </c>
      <c r="J32" s="131">
        <f>'Facility Master'!Q31</f>
        <v>5.0000000000000001E-3</v>
      </c>
      <c r="K32" s="130" t="str">
        <f>IF('Facility Master'!R31="Floating","Quarterly",IF('Facility Master'!R31="Fixed","N/A",IF('Facility Master'!R31="TBD","TBD","N/A")))</f>
        <v>N/A</v>
      </c>
      <c r="L32" s="130" t="s">
        <v>228</v>
      </c>
      <c r="M32" s="130" t="str">
        <f>'Facility Master'!AE31</f>
        <v>SWIFT INR 1,000/BG; min commission INR 500/BG.</v>
      </c>
      <c r="N32" s="130" t="str">
        <f>IF('Facility Master'!Q31=0,IF('Facility Master'!R31="TBD","⚠ Rate TBD","⚠ Rate Missing"),IF('Facility Master'!R31="Floating (Indicative)","⚠ Indicative","✓ Confirmed"))</f>
        <v>✓ Confirmed</v>
      </c>
    </row>
    <row r="33" spans="1:14" ht="26.4" x14ac:dyDescent="0.3">
      <c r="A33" s="129"/>
      <c r="B33" s="132">
        <f>'Facility Master'!B32</f>
        <v>28</v>
      </c>
      <c r="C33" s="132" t="str">
        <f>'Facility Master'!C32</f>
        <v>ICICI Bank</v>
      </c>
      <c r="D33" s="132" t="str">
        <f>'Facility Master'!D32</f>
        <v>Bank Guarantee - Financial</v>
      </c>
      <c r="E33" s="132" t="str">
        <f>'Facility Master'!E32</f>
        <v>NFB</v>
      </c>
      <c r="F33" s="132" t="str">
        <f>'Facility Master'!R32</f>
        <v>Fixed</v>
      </c>
      <c r="G33" s="132" t="str">
        <f>'Facility Master'!O32</f>
        <v>Fixed commission</v>
      </c>
      <c r="H33" s="132" t="str">
        <f>IFERROR(IF('Facility Master'!O32="1Y MCLR (RBL Bank)",BMK_1Y_MCLR_RBL,IF('Facility Master'!O32="3M MCLR (YBL)",BMK_3M_MCLR_YBL,IF('Facility Master'!O32="6M I-MCLR (ICICI)",BMK_6M_IMCLR_ICICI,IF('Facility Master'!O32="12M MCLR (SIB)",BMK_12M_MCLR_SIB,IF('Facility Master'!O32="Bajaj Floating Reference Rate (BFRR)",BMK_BFRR,IF('Facility Master'!O32="Term SOFR (USD)",BMK_TERM_SOFR,IF('Facility Master'!O32="Repo Rate",BMK_REPO,IF('Facility Master'!O32="FD rate",BMK_FD_RATE,IF('Facility Master'!O32="3M T-Bill",BMK_3M_TBILL,"-"))))))))),"-")</f>
        <v>-</v>
      </c>
      <c r="I33" s="132" t="str">
        <f>IFERROR('Facility Master'!P32*10000,"-")</f>
        <v>-</v>
      </c>
      <c r="J33" s="133">
        <f>'Facility Master'!Q32</f>
        <v>6.0000000000000001E-3</v>
      </c>
      <c r="K33" s="132" t="str">
        <f>IF('Facility Master'!R32="Floating","Quarterly",IF('Facility Master'!R32="Fixed","N/A",IF('Facility Master'!R32="TBD","TBD","N/A")))</f>
        <v>N/A</v>
      </c>
      <c r="L33" s="132" t="s">
        <v>228</v>
      </c>
      <c r="M33" s="132" t="str">
        <f>'Facility Master'!AE32</f>
        <v>INR 50 mn per sanction letter.</v>
      </c>
      <c r="N33" s="132" t="str">
        <f>IF('Facility Master'!Q32=0,IF('Facility Master'!R32="TBD","⚠ Rate TBD","⚠ Rate Missing"),IF('Facility Master'!R32="Floating (Indicative)","⚠ Indicative","✓ Confirmed"))</f>
        <v>✓ Confirmed</v>
      </c>
    </row>
    <row r="34" spans="1:14" x14ac:dyDescent="0.3">
      <c r="A34" s="128"/>
      <c r="B34" s="130">
        <f>'Facility Master'!B33</f>
        <v>29</v>
      </c>
      <c r="C34" s="130" t="str">
        <f>'Facility Master'!C33</f>
        <v>South Indian Bank</v>
      </c>
      <c r="D34" s="130" t="str">
        <f>'Facility Master'!D33</f>
        <v>CCOL (Cash Credit)</v>
      </c>
      <c r="E34" s="130" t="str">
        <f>'Facility Master'!E33</f>
        <v>FB</v>
      </c>
      <c r="F34" s="130" t="str">
        <f>'Facility Master'!R33</f>
        <v>Floating</v>
      </c>
      <c r="G34" s="130" t="str">
        <f>'Facility Master'!O33</f>
        <v>12M MCLR (SIB)</v>
      </c>
      <c r="H34" s="135">
        <f>IFERROR(IF('Facility Master'!O33="1Y MCLR (RBL Bank)",BMK_1Y_MCLR_RBL,IF('Facility Master'!O33="3M MCLR (YBL)",BMK_3M_MCLR_YBL,IF('Facility Master'!O33="6M I-MCLR (ICICI)",BMK_6M_IMCLR_ICICI,IF('Facility Master'!O33="12M MCLR (SIB)",BMK_12M_MCLR_SIB,IF('Facility Master'!O33="Bajaj Floating Reference Rate (BFRR)",BMK_BFRR,IF('Facility Master'!O33="Term SOFR (USD)",BMK_TERM_SOFR,IF('Facility Master'!O33="Repo Rate",BMK_REPO,IF('Facility Master'!O33="FD rate",BMK_FD_RATE,IF('Facility Master'!O33="3M T-Bill",BMK_3M_TBILL,"-"))))))))),"-")</f>
        <v>9.7500000000000003E-2</v>
      </c>
      <c r="I34" s="130">
        <f>IFERROR('Facility Master'!P33*10000,"-")</f>
        <v>45</v>
      </c>
      <c r="J34" s="131">
        <f>'Facility Master'!Q33</f>
        <v>0.10200000000000001</v>
      </c>
      <c r="K34" s="130" t="str">
        <f>IF('Facility Master'!R33="Floating","Quarterly",IF('Facility Master'!R33="Fixed","N/A",IF('Facility Master'!R33="TBD","TBD","N/A")))</f>
        <v>Quarterly</v>
      </c>
      <c r="L34" s="130" t="s">
        <v>228</v>
      </c>
      <c r="M34" s="130" t="str">
        <f>'Facility Master'!AE33</f>
        <v>Annual reset.</v>
      </c>
      <c r="N34" s="130" t="str">
        <f>IF('Facility Master'!Q33=0,IF('Facility Master'!R33="TBD","⚠ Rate TBD","⚠ Rate Missing"),IF('Facility Master'!R33="Floating (Indicative)","⚠ Indicative","✓ Confirmed"))</f>
        <v>✓ Confirmed</v>
      </c>
    </row>
    <row r="35" spans="1:14" ht="79.2" x14ac:dyDescent="0.3">
      <c r="A35" s="129"/>
      <c r="B35" s="132">
        <f>'Facility Master'!B34</f>
        <v>30</v>
      </c>
      <c r="C35" s="132" t="str">
        <f>'Facility Master'!C34</f>
        <v>South Indian Bank</v>
      </c>
      <c r="D35" s="132" t="str">
        <f>'Facility Master'!D34</f>
        <v>WCL / WCDL</v>
      </c>
      <c r="E35" s="132" t="str">
        <f>'Facility Master'!E34</f>
        <v>FB</v>
      </c>
      <c r="F35" s="132" t="str">
        <f>'Facility Master'!R34</f>
        <v>TBD</v>
      </c>
      <c r="G35" s="132" t="str">
        <f>'Facility Master'!O34</f>
        <v>To be decided</v>
      </c>
      <c r="H35" s="132" t="str">
        <f>IFERROR(IF('Facility Master'!O34="1Y MCLR (RBL Bank)",BMK_1Y_MCLR_RBL,IF('Facility Master'!O34="3M MCLR (YBL)",BMK_3M_MCLR_YBL,IF('Facility Master'!O34="6M I-MCLR (ICICI)",BMK_6M_IMCLR_ICICI,IF('Facility Master'!O34="12M MCLR (SIB)",BMK_12M_MCLR_SIB,IF('Facility Master'!O34="Bajaj Floating Reference Rate (BFRR)",BMK_BFRR,IF('Facility Master'!O34="Term SOFR (USD)",BMK_TERM_SOFR,IF('Facility Master'!O34="Repo Rate",BMK_REPO,IF('Facility Master'!O34="FD rate",BMK_FD_RATE,IF('Facility Master'!O34="3M T-Bill",BMK_3M_TBILL,"-"))))))))),"-")</f>
        <v>-</v>
      </c>
      <c r="I35" s="132" t="str">
        <f>IFERROR('Facility Master'!P34*10000,"-")</f>
        <v>-</v>
      </c>
      <c r="J35" s="133">
        <f>'Facility Master'!Q34</f>
        <v>0</v>
      </c>
      <c r="K35" s="132" t="str">
        <f>IF('Facility Master'!R34="Floating","Quarterly",IF('Facility Master'!R34="Fixed","N/A",IF('Facility Master'!R34="TBD","TBD","N/A")))</f>
        <v>TBD</v>
      </c>
      <c r="L35" s="132" t="s">
        <v>228</v>
      </c>
      <c r="M35" s="132" t="str">
        <f>'Facility Master'!AE34</f>
        <v>Rate at each availment; rollover subject to rating/compliance.</v>
      </c>
      <c r="N35" s="132" t="str">
        <f>IF('Facility Master'!Q34=0,IF('Facility Master'!R34="TBD","⚠ Rate TBD","⚠ Rate Missing"),IF('Facility Master'!R34="Floating (Indicative)","⚠ Indicative","✓ Confirmed"))</f>
        <v>⚠ Rate TBD</v>
      </c>
    </row>
    <row r="36" spans="1:14" ht="39.6" x14ac:dyDescent="0.3">
      <c r="A36" s="128"/>
      <c r="B36" s="130">
        <f>'Facility Master'!B35</f>
        <v>31</v>
      </c>
      <c r="C36" s="130" t="str">
        <f>'Facility Master'!C35</f>
        <v>South Indian Bank</v>
      </c>
      <c r="D36" s="130" t="str">
        <f>'Facility Master'!D35</f>
        <v>Inland / Import LC</v>
      </c>
      <c r="E36" s="130" t="str">
        <f>'Facility Master'!E35</f>
        <v>NFB</v>
      </c>
      <c r="F36" s="130" t="str">
        <f>'Facility Master'!R35</f>
        <v>Fixed</v>
      </c>
      <c r="G36" s="130" t="str">
        <f>'Facility Master'!O35</f>
        <v>Fixed commission</v>
      </c>
      <c r="H36" s="130" t="str">
        <f>IFERROR(IF('Facility Master'!O35="1Y MCLR (RBL Bank)",BMK_1Y_MCLR_RBL,IF('Facility Master'!O35="3M MCLR (YBL)",BMK_3M_MCLR_YBL,IF('Facility Master'!O35="6M I-MCLR (ICICI)",BMK_6M_IMCLR_ICICI,IF('Facility Master'!O35="12M MCLR (SIB)",BMK_12M_MCLR_SIB,IF('Facility Master'!O35="Bajaj Floating Reference Rate (BFRR)",BMK_BFRR,IF('Facility Master'!O35="Term SOFR (USD)",BMK_TERM_SOFR,IF('Facility Master'!O35="Repo Rate",BMK_REPO,IF('Facility Master'!O35="FD rate",BMK_FD_RATE,IF('Facility Master'!O35="3M T-Bill",BMK_3M_TBILL,"-"))))))))),"-")</f>
        <v>-</v>
      </c>
      <c r="I36" s="130" t="str">
        <f>IFERROR('Facility Master'!P35*10000,"-")</f>
        <v>-</v>
      </c>
      <c r="J36" s="131">
        <f>'Facility Master'!Q35</f>
        <v>6.4999999999999997E-3</v>
      </c>
      <c r="K36" s="130" t="str">
        <f>IF('Facility Master'!R35="Floating","Quarterly",IF('Facility Master'!R35="Fixed","N/A",IF('Facility Master'!R35="TBD","TBD","N/A")))</f>
        <v>N/A</v>
      </c>
      <c r="L36" s="130" t="s">
        <v>228</v>
      </c>
      <c r="M36" s="130" t="str">
        <f>'Facility Master'!AE35</f>
        <v>Total LC + Capex LC &lt;= INR 150 Cr.</v>
      </c>
      <c r="N36" s="130" t="str">
        <f>IF('Facility Master'!Q35=0,IF('Facility Master'!R35="TBD","⚠ Rate TBD","⚠ Rate Missing"),IF('Facility Master'!R35="Floating (Indicative)","⚠ Indicative","✓ Confirmed"))</f>
        <v>✓ Confirmed</v>
      </c>
    </row>
    <row r="37" spans="1:14" ht="39.6" x14ac:dyDescent="0.3">
      <c r="A37" s="129"/>
      <c r="B37" s="132">
        <f>'Facility Master'!B36</f>
        <v>32</v>
      </c>
      <c r="C37" s="132" t="str">
        <f>'Facility Master'!C36</f>
        <v>South Indian Bank</v>
      </c>
      <c r="D37" s="132" t="str">
        <f>'Facility Master'!D36</f>
        <v>Capex LC</v>
      </c>
      <c r="E37" s="132" t="str">
        <f>'Facility Master'!E36</f>
        <v>NFB</v>
      </c>
      <c r="F37" s="132" t="str">
        <f>'Facility Master'!R36</f>
        <v>Fixed</v>
      </c>
      <c r="G37" s="132" t="str">
        <f>'Facility Master'!O36</f>
        <v>Fixed commission</v>
      </c>
      <c r="H37" s="132" t="str">
        <f>IFERROR(IF('Facility Master'!O36="1Y MCLR (RBL Bank)",BMK_1Y_MCLR_RBL,IF('Facility Master'!O36="3M MCLR (YBL)",BMK_3M_MCLR_YBL,IF('Facility Master'!O36="6M I-MCLR (ICICI)",BMK_6M_IMCLR_ICICI,IF('Facility Master'!O36="12M MCLR (SIB)",BMK_12M_MCLR_SIB,IF('Facility Master'!O36="Bajaj Floating Reference Rate (BFRR)",BMK_BFRR,IF('Facility Master'!O36="Term SOFR (USD)",BMK_TERM_SOFR,IF('Facility Master'!O36="Repo Rate",BMK_REPO,IF('Facility Master'!O36="FD rate",BMK_FD_RATE,IF('Facility Master'!O36="3M T-Bill",BMK_3M_TBILL,"-"))))))))),"-")</f>
        <v>-</v>
      </c>
      <c r="I37" s="132" t="str">
        <f>IFERROR('Facility Master'!P36*10000,"-")</f>
        <v>-</v>
      </c>
      <c r="J37" s="133">
        <f>'Facility Master'!Q36</f>
        <v>7.4999999999999997E-3</v>
      </c>
      <c r="K37" s="132" t="str">
        <f>IF('Facility Master'!R36="Floating","Quarterly",IF('Facility Master'!R36="Fixed","N/A",IF('Facility Master'!R36="TBD","TBD","N/A")))</f>
        <v>N/A</v>
      </c>
      <c r="L37" s="132" t="s">
        <v>228</v>
      </c>
      <c r="M37" s="132" t="str">
        <f>'Facility Master'!AE36</f>
        <v>Combined with Inland/Import LC limit.</v>
      </c>
      <c r="N37" s="132" t="str">
        <f>IF('Facility Master'!Q36=0,IF('Facility Master'!R36="TBD","⚠ Rate TBD","⚠ Rate Missing"),IF('Facility Master'!R36="Floating (Indicative)","⚠ Indicative","✓ Confirmed"))</f>
        <v>✓ Confirmed</v>
      </c>
    </row>
    <row r="38" spans="1:14" ht="52.8" x14ac:dyDescent="0.3">
      <c r="A38" s="128"/>
      <c r="B38" s="130">
        <f>'Facility Master'!B37</f>
        <v>33</v>
      </c>
      <c r="C38" s="130" t="str">
        <f>'Facility Master'!C37</f>
        <v>South Indian Bank</v>
      </c>
      <c r="D38" s="130" t="str">
        <f>'Facility Master'!D37</f>
        <v>SBLC</v>
      </c>
      <c r="E38" s="130" t="str">
        <f>'Facility Master'!E37</f>
        <v>NFB</v>
      </c>
      <c r="F38" s="130" t="str">
        <f>'Facility Master'!R37</f>
        <v>Fixed</v>
      </c>
      <c r="G38" s="130" t="str">
        <f>'Facility Master'!O37</f>
        <v>Fixed commission</v>
      </c>
      <c r="H38" s="130" t="str">
        <f>IFERROR(IF('Facility Master'!O37="1Y MCLR (RBL Bank)",BMK_1Y_MCLR_RBL,IF('Facility Master'!O37="3M MCLR (YBL)",BMK_3M_MCLR_YBL,IF('Facility Master'!O37="6M I-MCLR (ICICI)",BMK_6M_IMCLR_ICICI,IF('Facility Master'!O37="12M MCLR (SIB)",BMK_12M_MCLR_SIB,IF('Facility Master'!O37="Bajaj Floating Reference Rate (BFRR)",BMK_BFRR,IF('Facility Master'!O37="Term SOFR (USD)",BMK_TERM_SOFR,IF('Facility Master'!O37="Repo Rate",BMK_REPO,IF('Facility Master'!O37="FD rate",BMK_FD_RATE,IF('Facility Master'!O37="3M T-Bill",BMK_3M_TBILL,"-"))))))))),"-")</f>
        <v>-</v>
      </c>
      <c r="I38" s="130" t="str">
        <f>IFERROR('Facility Master'!P37*10000,"-")</f>
        <v>-</v>
      </c>
      <c r="J38" s="131">
        <f>'Facility Master'!Q37</f>
        <v>6.4999999999999997E-3</v>
      </c>
      <c r="K38" s="130" t="str">
        <f>IF('Facility Master'!R37="Floating","Quarterly",IF('Facility Master'!R37="Fixed","N/A",IF('Facility Master'!R37="TBD","TBD","N/A")))</f>
        <v>N/A</v>
      </c>
      <c r="L38" s="130" t="s">
        <v>228</v>
      </c>
      <c r="M38" s="130" t="str">
        <f>'Facility Master'!AE37</f>
        <v>No rollover. BC all-in-cost: Benchmark + 300 bps cap.</v>
      </c>
      <c r="N38" s="130" t="str">
        <f>IF('Facility Master'!Q37=0,IF('Facility Master'!R37="TBD","⚠ Rate TBD","⚠ Rate Missing"),IF('Facility Master'!R37="Floating (Indicative)","⚠ Indicative","✓ Confirmed"))</f>
        <v>✓ Confirmed</v>
      </c>
    </row>
    <row r="39" spans="1:14" ht="39.6" x14ac:dyDescent="0.3">
      <c r="A39" s="137"/>
      <c r="B39" s="138">
        <f>'Facility Master'!B38</f>
        <v>34</v>
      </c>
      <c r="C39" s="138" t="str">
        <f>'Facility Master'!C38</f>
        <v>South Indian Bank</v>
      </c>
      <c r="D39" s="138" t="str">
        <f>'Facility Master'!D38</f>
        <v>Forward Contract Limit</v>
      </c>
      <c r="E39" s="138" t="str">
        <f>'Facility Master'!E38</f>
        <v>Hedge</v>
      </c>
      <c r="F39" s="138" t="str">
        <f>'Facility Master'!R38</f>
        <v>Fixed</v>
      </c>
      <c r="G39" s="138" t="str">
        <f>'Facility Master'!O38</f>
        <v>N/A</v>
      </c>
      <c r="H39" s="138" t="str">
        <f>IFERROR(IF('Facility Master'!O38="1Y MCLR (RBL Bank)",BMK_1Y_MCLR_RBL,IF('Facility Master'!O38="3M MCLR (YBL)",BMK_3M_MCLR_YBL,IF('Facility Master'!O38="6M I-MCLR (ICICI)",BMK_6M_IMCLR_ICICI,IF('Facility Master'!O38="12M MCLR (SIB)",BMK_12M_MCLR_SIB,IF('Facility Master'!O38="Bajaj Floating Reference Rate (BFRR)",BMK_BFRR,IF('Facility Master'!O38="Term SOFR (USD)",BMK_TERM_SOFR,IF('Facility Master'!O38="Repo Rate",BMK_REPO,IF('Facility Master'!O38="FD rate",BMK_FD_RATE,IF('Facility Master'!O38="3M T-Bill",BMK_3M_TBILL,"-"))))))))),"-")</f>
        <v>-</v>
      </c>
      <c r="I39" s="138" t="str">
        <f>IFERROR('Facility Master'!P38*10000,"-")</f>
        <v>-</v>
      </c>
      <c r="J39" s="139">
        <f>'Facility Master'!Q38</f>
        <v>0</v>
      </c>
      <c r="K39" s="138" t="str">
        <f>IF('Facility Master'!R38="Floating","Quarterly",IF('Facility Master'!R38="Fixed","N/A",IF('Facility Master'!R38="TBD","TBD","N/A")))</f>
        <v>N/A</v>
      </c>
      <c r="L39" s="138" t="s">
        <v>228</v>
      </c>
      <c r="M39" s="138" t="str">
        <f>'Facility Master'!AE38</f>
        <v>Notional limit; no cash outflow unless settled.</v>
      </c>
      <c r="N39" s="138" t="str">
        <f>IF('Facility Master'!Q38=0,IF('Facility Master'!R38="TBD","⚠ Rate TBD","⚠ Rate Missing"),IF('Facility Master'!R38="Floating (Indicative)","⚠ Indicative","✓ Confirmed"))</f>
        <v>⚠ Rate Missing</v>
      </c>
    </row>
    <row r="40" spans="1:14" x14ac:dyDescent="0.3">
      <c r="A40" s="136"/>
      <c r="B40" s="136"/>
      <c r="C40" s="136"/>
      <c r="D40" s="136"/>
      <c r="E40" s="136"/>
      <c r="F40" s="136"/>
      <c r="G40" s="136"/>
      <c r="H40" s="136"/>
      <c r="I40" s="136"/>
      <c r="J40" s="136"/>
      <c r="K40" s="136"/>
      <c r="L40" s="136"/>
      <c r="M40" s="136"/>
      <c r="N40" s="136"/>
    </row>
    <row r="41" spans="1:14" ht="15.6" x14ac:dyDescent="0.3">
      <c r="B41" s="140" t="s">
        <v>229</v>
      </c>
      <c r="C41" s="141"/>
      <c r="D41" s="141"/>
      <c r="E41" s="141"/>
      <c r="F41" s="141"/>
      <c r="G41" s="141"/>
      <c r="H41" s="141"/>
      <c r="I41" s="141"/>
      <c r="J41" s="141"/>
      <c r="K41" s="141"/>
      <c r="L41" s="141"/>
      <c r="M41" s="141"/>
      <c r="N41" s="141"/>
    </row>
    <row r="42" spans="1:14" x14ac:dyDescent="0.3">
      <c r="B42" s="142" t="s">
        <v>230</v>
      </c>
      <c r="C42" s="143"/>
      <c r="D42" s="144">
        <f>COUNTIF(N6:N39,"✓ Confirmed")</f>
        <v>20</v>
      </c>
    </row>
    <row r="43" spans="1:14" x14ac:dyDescent="0.3">
      <c r="B43" s="142" t="s">
        <v>231</v>
      </c>
      <c r="C43" s="143"/>
      <c r="D43" s="144">
        <f>COUNTIF(N6:N39,"⚠ Rate TBD")</f>
        <v>7</v>
      </c>
    </row>
    <row r="44" spans="1:14" x14ac:dyDescent="0.3">
      <c r="B44" s="142" t="s">
        <v>232</v>
      </c>
      <c r="C44" s="143"/>
      <c r="D44" s="144">
        <f>COUNTIF(N6:N39,"⚠ Indicative")</f>
        <v>1</v>
      </c>
    </row>
    <row r="45" spans="1:14" x14ac:dyDescent="0.3">
      <c r="B45" s="142" t="s">
        <v>233</v>
      </c>
      <c r="C45" s="143"/>
      <c r="D45" s="144">
        <f>COUNTIF(N6:N39,"⚠ Rate Missing")</f>
        <v>6</v>
      </c>
    </row>
  </sheetData>
  <mergeCells count="2">
    <mergeCell ref="B2:N2"/>
    <mergeCell ref="B3:N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B2:AE39"/>
  <sheetViews>
    <sheetView showGridLines="0" zoomScale="85" zoomScaleNormal="85" workbookViewId="0">
      <pane xSplit="4" ySplit="4" topLeftCell="E5" activePane="bottomRight" state="frozen"/>
      <selection pane="topRight" activeCell="E1" sqref="E1"/>
      <selection pane="bottomLeft" activeCell="A5" sqref="A5"/>
      <selection pane="bottomRight" activeCell="M7" sqref="M7"/>
    </sheetView>
  </sheetViews>
  <sheetFormatPr defaultColWidth="8.6640625" defaultRowHeight="14.4" x14ac:dyDescent="0.3"/>
  <cols>
    <col min="1" max="1" width="3" customWidth="1"/>
    <col min="2" max="2" width="6" customWidth="1"/>
    <col min="3" max="3" width="16" customWidth="1"/>
    <col min="4" max="4" width="28" customWidth="1"/>
    <col min="5" max="5" width="14" customWidth="1"/>
    <col min="6" max="6" width="16" customWidth="1"/>
    <col min="7" max="7" width="20" customWidth="1"/>
    <col min="8" max="8" width="10" customWidth="1"/>
    <col min="9" max="12" width="14" customWidth="1"/>
    <col min="13" max="13" width="11" customWidth="1"/>
    <col min="14" max="14" width="14" customWidth="1"/>
    <col min="15" max="15" width="22" customWidth="1"/>
    <col min="16" max="16" width="10" customWidth="1"/>
    <col min="17" max="17" width="11" customWidth="1"/>
    <col min="18" max="18" width="12" customWidth="1"/>
    <col min="19" max="19" width="11" customWidth="1"/>
    <col min="20" max="20" width="14" customWidth="1"/>
    <col min="21" max="21" width="10" customWidth="1"/>
    <col min="22" max="22" width="11" customWidth="1"/>
    <col min="23" max="27" width="14" customWidth="1"/>
    <col min="28" max="28" width="32" customWidth="1"/>
    <col min="29" max="29" width="36" customWidth="1"/>
    <col min="30" max="30" width="28" customWidth="1"/>
    <col min="31" max="31" width="36" customWidth="1"/>
  </cols>
  <sheetData>
    <row r="2" spans="2:31" ht="36" customHeight="1" x14ac:dyDescent="0.3">
      <c r="B2" s="300" t="s">
        <v>234</v>
      </c>
      <c r="C2" s="300"/>
      <c r="D2" s="300"/>
      <c r="E2" s="300"/>
      <c r="F2" s="300"/>
      <c r="G2" s="300"/>
      <c r="H2" s="300"/>
      <c r="I2" s="300"/>
      <c r="J2" s="300"/>
      <c r="K2" s="300"/>
      <c r="L2" s="300"/>
      <c r="M2" s="300"/>
      <c r="N2" s="300"/>
      <c r="O2" s="300"/>
      <c r="P2" s="300"/>
      <c r="Q2" s="300"/>
      <c r="R2" s="300"/>
      <c r="S2" s="300"/>
      <c r="T2" s="300"/>
      <c r="U2" s="300"/>
      <c r="V2" s="300"/>
      <c r="W2" s="300"/>
      <c r="X2" s="300"/>
      <c r="Y2" s="300"/>
      <c r="Z2" s="300"/>
      <c r="AA2" s="300"/>
      <c r="AB2" s="300"/>
      <c r="AC2" s="300"/>
      <c r="AD2" s="300"/>
      <c r="AE2" s="300"/>
    </row>
    <row r="3" spans="2:31" ht="27.75" customHeight="1" x14ac:dyDescent="0.3">
      <c r="B3" s="1"/>
      <c r="C3" s="1"/>
      <c r="D3" s="1"/>
      <c r="E3" s="1"/>
      <c r="F3" s="1"/>
      <c r="G3" s="1"/>
      <c r="H3" s="1"/>
      <c r="I3" s="1"/>
      <c r="J3" s="1"/>
      <c r="K3" s="1"/>
      <c r="L3" s="1"/>
      <c r="M3" s="1"/>
      <c r="N3" s="1"/>
      <c r="O3" s="1"/>
      <c r="P3" s="1"/>
      <c r="Q3" s="1"/>
      <c r="R3" s="1"/>
      <c r="S3" s="1"/>
      <c r="T3" s="1"/>
      <c r="U3" s="1"/>
      <c r="V3" s="1"/>
      <c r="W3" s="1"/>
      <c r="X3" s="1"/>
      <c r="Y3" s="1"/>
      <c r="Z3" s="1"/>
      <c r="AA3" s="1"/>
      <c r="AB3" s="1"/>
      <c r="AC3" s="1"/>
      <c r="AD3" s="1"/>
      <c r="AE3" s="1"/>
    </row>
    <row r="4" spans="2:31" ht="39.75" customHeight="1" x14ac:dyDescent="0.3">
      <c r="B4" s="9" t="s">
        <v>216</v>
      </c>
      <c r="C4" s="9" t="s">
        <v>217</v>
      </c>
      <c r="D4" s="9" t="s">
        <v>218</v>
      </c>
      <c r="E4" s="9" t="s">
        <v>219</v>
      </c>
      <c r="F4" s="9" t="s">
        <v>235</v>
      </c>
      <c r="G4" s="9" t="s">
        <v>236</v>
      </c>
      <c r="H4" s="9" t="s">
        <v>237</v>
      </c>
      <c r="I4" s="9" t="s">
        <v>238</v>
      </c>
      <c r="J4" s="9" t="s">
        <v>239</v>
      </c>
      <c r="K4" s="9" t="s">
        <v>240</v>
      </c>
      <c r="L4" s="9" t="s">
        <v>241</v>
      </c>
      <c r="M4" s="9" t="s">
        <v>242</v>
      </c>
      <c r="N4" s="9" t="s">
        <v>243</v>
      </c>
      <c r="O4" s="9" t="s">
        <v>244</v>
      </c>
      <c r="P4" s="9" t="s">
        <v>245</v>
      </c>
      <c r="Q4" s="9" t="s">
        <v>246</v>
      </c>
      <c r="R4" s="9" t="s">
        <v>220</v>
      </c>
      <c r="S4" s="9" t="s">
        <v>247</v>
      </c>
      <c r="T4" s="9" t="s">
        <v>248</v>
      </c>
      <c r="U4" s="9" t="s">
        <v>249</v>
      </c>
      <c r="V4" s="9" t="s">
        <v>250</v>
      </c>
      <c r="W4" s="9" t="s">
        <v>251</v>
      </c>
      <c r="X4" s="9" t="s">
        <v>252</v>
      </c>
      <c r="Y4" s="9" t="s">
        <v>253</v>
      </c>
      <c r="Z4" s="9" t="s">
        <v>254</v>
      </c>
      <c r="AA4" s="9" t="s">
        <v>255</v>
      </c>
      <c r="AB4" s="9" t="s">
        <v>256</v>
      </c>
      <c r="AC4" s="9" t="s">
        <v>257</v>
      </c>
      <c r="AD4" s="9" t="s">
        <v>258</v>
      </c>
      <c r="AE4" s="9" t="s">
        <v>259</v>
      </c>
    </row>
    <row r="5" spans="2:31" ht="31.5" customHeight="1" x14ac:dyDescent="0.3">
      <c r="B5" s="40">
        <v>1</v>
      </c>
      <c r="C5" s="41" t="s">
        <v>260</v>
      </c>
      <c r="D5" s="41" t="s">
        <v>261</v>
      </c>
      <c r="E5" s="42" t="s">
        <v>262</v>
      </c>
      <c r="F5" s="42" t="s">
        <v>263</v>
      </c>
      <c r="G5" s="43" t="s">
        <v>264</v>
      </c>
      <c r="H5" s="42" t="s">
        <v>265</v>
      </c>
      <c r="I5" s="44">
        <v>100</v>
      </c>
      <c r="J5" s="45">
        <f t="shared" ref="J5:J17" si="0">I5</f>
        <v>100</v>
      </c>
      <c r="K5" s="46"/>
      <c r="L5" s="47">
        <f t="shared" ref="L5:L38" si="1">IF(UseFullUtilisation=TRUE(),J5,IF(K5="",0,K5))</f>
        <v>100</v>
      </c>
      <c r="M5" s="48">
        <f t="shared" ref="M5:M38" si="2">IFERROR(L5/J5,0)</f>
        <v>1</v>
      </c>
      <c r="N5" s="45">
        <f t="shared" ref="N5:N38" si="3">J5-L5</f>
        <v>0</v>
      </c>
      <c r="O5" s="41" t="s">
        <v>266</v>
      </c>
      <c r="P5" s="49" t="s">
        <v>267</v>
      </c>
      <c r="Q5" s="50">
        <v>4.4999999999999997E-3</v>
      </c>
      <c r="R5" s="42" t="s">
        <v>268</v>
      </c>
      <c r="S5" s="49" t="s">
        <v>267</v>
      </c>
      <c r="T5" s="42" t="s">
        <v>269</v>
      </c>
      <c r="U5" s="51">
        <v>6</v>
      </c>
      <c r="V5" s="49" t="s">
        <v>267</v>
      </c>
      <c r="W5" s="52">
        <f t="shared" ref="W5:W12" si="4">Z5</f>
        <v>46022</v>
      </c>
      <c r="X5" s="49" t="s">
        <v>267</v>
      </c>
      <c r="Y5" s="49" t="s">
        <v>267</v>
      </c>
      <c r="Z5" s="53">
        <v>46022</v>
      </c>
      <c r="AA5" s="53">
        <v>46356</v>
      </c>
      <c r="AB5" s="43" t="s">
        <v>270</v>
      </c>
      <c r="AC5" s="43" t="s">
        <v>271</v>
      </c>
      <c r="AD5" s="43" t="s">
        <v>272</v>
      </c>
      <c r="AE5" s="54" t="s">
        <v>273</v>
      </c>
    </row>
    <row r="6" spans="2:31" ht="31.5" customHeight="1" x14ac:dyDescent="0.3">
      <c r="B6" s="55">
        <v>2</v>
      </c>
      <c r="C6" s="56" t="s">
        <v>260</v>
      </c>
      <c r="D6" s="56" t="s">
        <v>274</v>
      </c>
      <c r="E6" s="57" t="s">
        <v>262</v>
      </c>
      <c r="F6" s="57" t="s">
        <v>263</v>
      </c>
      <c r="G6" s="58" t="s">
        <v>275</v>
      </c>
      <c r="H6" s="57" t="s">
        <v>265</v>
      </c>
      <c r="I6" s="59">
        <v>25</v>
      </c>
      <c r="J6" s="60">
        <f t="shared" si="0"/>
        <v>25</v>
      </c>
      <c r="K6" s="46"/>
      <c r="L6" s="61">
        <f t="shared" si="1"/>
        <v>25</v>
      </c>
      <c r="M6" s="62">
        <f t="shared" si="2"/>
        <v>1</v>
      </c>
      <c r="N6" s="60">
        <f t="shared" si="3"/>
        <v>0</v>
      </c>
      <c r="O6" s="56" t="s">
        <v>266</v>
      </c>
      <c r="P6" s="63" t="s">
        <v>267</v>
      </c>
      <c r="Q6" s="221">
        <v>5.0000000000000001E-3</v>
      </c>
      <c r="R6" s="57" t="s">
        <v>268</v>
      </c>
      <c r="S6" s="63" t="s">
        <v>267</v>
      </c>
      <c r="T6" s="57" t="s">
        <v>276</v>
      </c>
      <c r="U6" s="65">
        <v>12</v>
      </c>
      <c r="V6" s="63" t="s">
        <v>267</v>
      </c>
      <c r="W6" s="66">
        <f t="shared" si="4"/>
        <v>46022</v>
      </c>
      <c r="X6" s="63" t="s">
        <v>267</v>
      </c>
      <c r="Y6" s="63" t="s">
        <v>267</v>
      </c>
      <c r="Z6" s="67">
        <v>46022</v>
      </c>
      <c r="AA6" s="67">
        <v>46356</v>
      </c>
      <c r="AB6" s="58" t="s">
        <v>277</v>
      </c>
      <c r="AC6" s="58" t="s">
        <v>271</v>
      </c>
      <c r="AD6" s="58" t="s">
        <v>272</v>
      </c>
      <c r="AE6" s="68" t="s">
        <v>1133</v>
      </c>
    </row>
    <row r="7" spans="2:31" ht="31.5" customHeight="1" x14ac:dyDescent="0.3">
      <c r="B7" s="40">
        <v>3</v>
      </c>
      <c r="C7" s="41" t="s">
        <v>260</v>
      </c>
      <c r="D7" s="41" t="s">
        <v>278</v>
      </c>
      <c r="E7" s="42" t="s">
        <v>279</v>
      </c>
      <c r="F7" s="42" t="s">
        <v>263</v>
      </c>
      <c r="G7" s="43" t="s">
        <v>280</v>
      </c>
      <c r="H7" s="42" t="s">
        <v>265</v>
      </c>
      <c r="I7" s="44">
        <v>100</v>
      </c>
      <c r="J7" s="45">
        <f t="shared" si="0"/>
        <v>100</v>
      </c>
      <c r="K7" s="46"/>
      <c r="L7" s="47">
        <f t="shared" si="1"/>
        <v>100</v>
      </c>
      <c r="M7" s="48">
        <f t="shared" si="2"/>
        <v>1</v>
      </c>
      <c r="N7" s="45">
        <f t="shared" si="3"/>
        <v>0</v>
      </c>
      <c r="O7" s="41" t="s">
        <v>281</v>
      </c>
      <c r="P7" s="49" t="s">
        <v>267</v>
      </c>
      <c r="Q7" s="24"/>
      <c r="R7" s="42" t="s">
        <v>282</v>
      </c>
      <c r="S7" s="49" t="s">
        <v>267</v>
      </c>
      <c r="T7" s="42" t="s">
        <v>269</v>
      </c>
      <c r="U7" s="51">
        <v>1</v>
      </c>
      <c r="V7" s="49" t="s">
        <v>267</v>
      </c>
      <c r="W7" s="52">
        <f t="shared" si="4"/>
        <v>46022</v>
      </c>
      <c r="X7" s="49" t="s">
        <v>267</v>
      </c>
      <c r="Y7" s="49" t="s">
        <v>267</v>
      </c>
      <c r="Z7" s="53">
        <v>46022</v>
      </c>
      <c r="AA7" s="53">
        <v>46356</v>
      </c>
      <c r="AB7" s="43" t="s">
        <v>283</v>
      </c>
      <c r="AC7" s="43" t="s">
        <v>271</v>
      </c>
      <c r="AD7" s="43" t="s">
        <v>272</v>
      </c>
      <c r="AE7" s="54" t="s">
        <v>284</v>
      </c>
    </row>
    <row r="8" spans="2:31" ht="31.5" customHeight="1" x14ac:dyDescent="0.3">
      <c r="B8" s="55">
        <v>4</v>
      </c>
      <c r="C8" s="56" t="s">
        <v>260</v>
      </c>
      <c r="D8" s="56" t="s">
        <v>285</v>
      </c>
      <c r="E8" s="57" t="s">
        <v>262</v>
      </c>
      <c r="F8" s="57" t="s">
        <v>263</v>
      </c>
      <c r="G8" s="58" t="s">
        <v>275</v>
      </c>
      <c r="H8" s="57" t="s">
        <v>265</v>
      </c>
      <c r="I8" s="59">
        <v>100</v>
      </c>
      <c r="J8" s="60">
        <f t="shared" si="0"/>
        <v>100</v>
      </c>
      <c r="K8" s="46"/>
      <c r="L8" s="61">
        <f t="shared" si="1"/>
        <v>100</v>
      </c>
      <c r="M8" s="62">
        <f t="shared" si="2"/>
        <v>1</v>
      </c>
      <c r="N8" s="60">
        <f t="shared" si="3"/>
        <v>0</v>
      </c>
      <c r="O8" s="56" t="s">
        <v>281</v>
      </c>
      <c r="P8" s="63" t="s">
        <v>267</v>
      </c>
      <c r="Q8" s="24">
        <v>5.0000000000000001E-3</v>
      </c>
      <c r="R8" s="57" t="s">
        <v>282</v>
      </c>
      <c r="S8" s="63" t="s">
        <v>267</v>
      </c>
      <c r="T8" s="57" t="s">
        <v>269</v>
      </c>
      <c r="U8" s="65">
        <v>6</v>
      </c>
      <c r="V8" s="63" t="s">
        <v>267</v>
      </c>
      <c r="W8" s="66">
        <f t="shared" si="4"/>
        <v>45729</v>
      </c>
      <c r="X8" s="63" t="s">
        <v>267</v>
      </c>
      <c r="Y8" s="63" t="s">
        <v>267</v>
      </c>
      <c r="Z8" s="67">
        <v>45729</v>
      </c>
      <c r="AA8" s="67">
        <v>46356</v>
      </c>
      <c r="AB8" s="58" t="s">
        <v>286</v>
      </c>
      <c r="AC8" s="58" t="s">
        <v>287</v>
      </c>
      <c r="AD8" s="58" t="s">
        <v>288</v>
      </c>
      <c r="AE8" s="68" t="s">
        <v>289</v>
      </c>
    </row>
    <row r="9" spans="2:31" ht="31.5" customHeight="1" x14ac:dyDescent="0.3">
      <c r="B9" s="40">
        <v>5</v>
      </c>
      <c r="C9" s="41" t="s">
        <v>260</v>
      </c>
      <c r="D9" s="41" t="s">
        <v>290</v>
      </c>
      <c r="E9" s="42" t="s">
        <v>279</v>
      </c>
      <c r="F9" s="42" t="s">
        <v>263</v>
      </c>
      <c r="G9" s="43" t="s">
        <v>280</v>
      </c>
      <c r="H9" s="42" t="s">
        <v>265</v>
      </c>
      <c r="I9" s="44">
        <v>100</v>
      </c>
      <c r="J9" s="45">
        <f t="shared" si="0"/>
        <v>100</v>
      </c>
      <c r="K9" s="46"/>
      <c r="L9" s="47">
        <f t="shared" si="1"/>
        <v>100</v>
      </c>
      <c r="M9" s="48">
        <f t="shared" si="2"/>
        <v>1</v>
      </c>
      <c r="N9" s="45">
        <f t="shared" si="3"/>
        <v>0</v>
      </c>
      <c r="O9" s="41" t="s">
        <v>281</v>
      </c>
      <c r="P9" s="49" t="s">
        <v>267</v>
      </c>
      <c r="Q9" s="24"/>
      <c r="R9" s="42" t="s">
        <v>282</v>
      </c>
      <c r="S9" s="49" t="s">
        <v>267</v>
      </c>
      <c r="T9" s="42" t="s">
        <v>269</v>
      </c>
      <c r="U9" s="49" t="s">
        <v>267</v>
      </c>
      <c r="V9" s="49" t="s">
        <v>267</v>
      </c>
      <c r="W9" s="52">
        <f t="shared" si="4"/>
        <v>46022</v>
      </c>
      <c r="X9" s="49" t="s">
        <v>267</v>
      </c>
      <c r="Y9" s="49" t="s">
        <v>267</v>
      </c>
      <c r="Z9" s="53">
        <v>46022</v>
      </c>
      <c r="AA9" s="53">
        <v>46356</v>
      </c>
      <c r="AB9" s="43" t="s">
        <v>283</v>
      </c>
      <c r="AC9" s="43" t="s">
        <v>271</v>
      </c>
      <c r="AD9" s="43" t="s">
        <v>272</v>
      </c>
      <c r="AE9" s="54" t="s">
        <v>284</v>
      </c>
    </row>
    <row r="10" spans="2:31" ht="31.5" customHeight="1" x14ac:dyDescent="0.3">
      <c r="B10" s="55">
        <v>6</v>
      </c>
      <c r="C10" s="56" t="s">
        <v>260</v>
      </c>
      <c r="D10" s="56" t="s">
        <v>291</v>
      </c>
      <c r="E10" s="57" t="s">
        <v>279</v>
      </c>
      <c r="F10" s="57" t="s">
        <v>263</v>
      </c>
      <c r="G10" s="58" t="s">
        <v>280</v>
      </c>
      <c r="H10" s="57" t="s">
        <v>265</v>
      </c>
      <c r="I10" s="59">
        <v>100</v>
      </c>
      <c r="J10" s="60">
        <f t="shared" si="0"/>
        <v>100</v>
      </c>
      <c r="K10" s="46"/>
      <c r="L10" s="61">
        <f t="shared" si="1"/>
        <v>100</v>
      </c>
      <c r="M10" s="62">
        <f t="shared" si="2"/>
        <v>1</v>
      </c>
      <c r="N10" s="60">
        <f t="shared" si="3"/>
        <v>0</v>
      </c>
      <c r="O10" s="56" t="s">
        <v>292</v>
      </c>
      <c r="P10" s="64">
        <v>5.0000000000000001E-4</v>
      </c>
      <c r="Q10" s="24">
        <f>BMK_1Y_MCLR_RBL+P10</f>
        <v>9.0499999999999997E-2</v>
      </c>
      <c r="R10" s="57" t="s">
        <v>293</v>
      </c>
      <c r="S10" s="63" t="s">
        <v>267</v>
      </c>
      <c r="T10" s="57" t="s">
        <v>276</v>
      </c>
      <c r="U10" s="63" t="s">
        <v>267</v>
      </c>
      <c r="V10" s="63" t="s">
        <v>267</v>
      </c>
      <c r="W10" s="66">
        <f t="shared" si="4"/>
        <v>45716</v>
      </c>
      <c r="X10" s="63" t="s">
        <v>267</v>
      </c>
      <c r="Y10" s="63" t="s">
        <v>267</v>
      </c>
      <c r="Z10" s="67">
        <v>45716</v>
      </c>
      <c r="AA10" s="67">
        <v>46356</v>
      </c>
      <c r="AB10" s="58" t="s">
        <v>283</v>
      </c>
      <c r="AC10" s="58" t="s">
        <v>271</v>
      </c>
      <c r="AD10" s="58" t="s">
        <v>294</v>
      </c>
      <c r="AE10" s="68" t="s">
        <v>295</v>
      </c>
    </row>
    <row r="11" spans="2:31" ht="31.5" customHeight="1" x14ac:dyDescent="0.3">
      <c r="B11" s="40">
        <v>7</v>
      </c>
      <c r="C11" s="41" t="s">
        <v>260</v>
      </c>
      <c r="D11" s="41" t="s">
        <v>296</v>
      </c>
      <c r="E11" s="42" t="s">
        <v>279</v>
      </c>
      <c r="F11" s="42" t="s">
        <v>263</v>
      </c>
      <c r="G11" s="43" t="s">
        <v>275</v>
      </c>
      <c r="H11" s="42" t="s">
        <v>265</v>
      </c>
      <c r="I11" s="44">
        <v>100</v>
      </c>
      <c r="J11" s="45">
        <f t="shared" si="0"/>
        <v>100</v>
      </c>
      <c r="K11" s="46"/>
      <c r="L11" s="47">
        <f t="shared" si="1"/>
        <v>100</v>
      </c>
      <c r="M11" s="48">
        <f t="shared" si="2"/>
        <v>1</v>
      </c>
      <c r="N11" s="45">
        <f t="shared" si="3"/>
        <v>0</v>
      </c>
      <c r="O11" s="41" t="s">
        <v>281</v>
      </c>
      <c r="P11" s="49" t="s">
        <v>267</v>
      </c>
      <c r="Q11" s="24"/>
      <c r="R11" s="42" t="s">
        <v>282</v>
      </c>
      <c r="S11" s="49" t="s">
        <v>267</v>
      </c>
      <c r="T11" s="42" t="s">
        <v>276</v>
      </c>
      <c r="U11" s="51">
        <v>4</v>
      </c>
      <c r="V11" s="49" t="s">
        <v>267</v>
      </c>
      <c r="W11" s="52">
        <f t="shared" si="4"/>
        <v>46022</v>
      </c>
      <c r="X11" s="49" t="s">
        <v>267</v>
      </c>
      <c r="Y11" s="49" t="s">
        <v>267</v>
      </c>
      <c r="Z11" s="53">
        <v>46022</v>
      </c>
      <c r="AA11" s="53">
        <v>46356</v>
      </c>
      <c r="AB11" s="43" t="s">
        <v>297</v>
      </c>
      <c r="AC11" s="43" t="s">
        <v>271</v>
      </c>
      <c r="AD11" s="43" t="s">
        <v>272</v>
      </c>
      <c r="AE11" s="54" t="s">
        <v>298</v>
      </c>
    </row>
    <row r="12" spans="2:31" ht="31.5" customHeight="1" x14ac:dyDescent="0.3">
      <c r="B12" s="55">
        <v>8</v>
      </c>
      <c r="C12" s="56" t="s">
        <v>260</v>
      </c>
      <c r="D12" s="56" t="s">
        <v>299</v>
      </c>
      <c r="E12" s="57" t="s">
        <v>300</v>
      </c>
      <c r="F12" s="57" t="s">
        <v>263</v>
      </c>
      <c r="G12" s="58" t="s">
        <v>264</v>
      </c>
      <c r="H12" s="57" t="s">
        <v>265</v>
      </c>
      <c r="I12" s="59">
        <v>20</v>
      </c>
      <c r="J12" s="60">
        <f t="shared" si="0"/>
        <v>20</v>
      </c>
      <c r="K12" s="46"/>
      <c r="L12" s="61">
        <f t="shared" si="1"/>
        <v>20</v>
      </c>
      <c r="M12" s="62">
        <f t="shared" si="2"/>
        <v>1</v>
      </c>
      <c r="N12" s="60">
        <f t="shared" si="3"/>
        <v>0</v>
      </c>
      <c r="O12" s="56" t="s">
        <v>301</v>
      </c>
      <c r="P12" s="63" t="s">
        <v>267</v>
      </c>
      <c r="Q12" s="24"/>
      <c r="R12" s="57" t="s">
        <v>268</v>
      </c>
      <c r="S12" s="63" t="s">
        <v>267</v>
      </c>
      <c r="T12" s="57" t="s">
        <v>302</v>
      </c>
      <c r="U12" s="65">
        <v>12</v>
      </c>
      <c r="V12" s="63" t="s">
        <v>267</v>
      </c>
      <c r="W12" s="66">
        <f t="shared" si="4"/>
        <v>46022</v>
      </c>
      <c r="X12" s="63" t="s">
        <v>267</v>
      </c>
      <c r="Y12" s="63" t="s">
        <v>267</v>
      </c>
      <c r="Z12" s="67">
        <v>46022</v>
      </c>
      <c r="AA12" s="67">
        <v>46356</v>
      </c>
      <c r="AB12" s="58" t="s">
        <v>303</v>
      </c>
      <c r="AC12" s="58" t="s">
        <v>304</v>
      </c>
      <c r="AD12" s="58" t="s">
        <v>272</v>
      </c>
      <c r="AE12" s="68" t="s">
        <v>305</v>
      </c>
    </row>
    <row r="13" spans="2:31" ht="31.5" customHeight="1" x14ac:dyDescent="0.3">
      <c r="B13" s="40">
        <v>9</v>
      </c>
      <c r="C13" s="41" t="s">
        <v>260</v>
      </c>
      <c r="D13" s="41" t="s">
        <v>306</v>
      </c>
      <c r="E13" s="42" t="s">
        <v>307</v>
      </c>
      <c r="F13" s="42" t="s">
        <v>308</v>
      </c>
      <c r="G13" s="43" t="s">
        <v>264</v>
      </c>
      <c r="H13" s="42" t="s">
        <v>265</v>
      </c>
      <c r="I13" s="44">
        <v>200</v>
      </c>
      <c r="J13" s="45">
        <f t="shared" si="0"/>
        <v>200</v>
      </c>
      <c r="K13" s="46"/>
      <c r="L13" s="47">
        <f t="shared" si="1"/>
        <v>200</v>
      </c>
      <c r="M13" s="48">
        <f t="shared" si="2"/>
        <v>1</v>
      </c>
      <c r="N13" s="45">
        <f t="shared" si="3"/>
        <v>0</v>
      </c>
      <c r="O13" s="41" t="s">
        <v>292</v>
      </c>
      <c r="P13" s="49">
        <v>7.4999999999999997E-3</v>
      </c>
      <c r="Q13" s="24">
        <f>BMK_1Y_MCLR_RBL+P13</f>
        <v>9.7500000000000003E-2</v>
      </c>
      <c r="R13" s="42" t="s">
        <v>309</v>
      </c>
      <c r="S13" s="51">
        <v>24</v>
      </c>
      <c r="T13" s="42" t="s">
        <v>310</v>
      </c>
      <c r="U13" s="51">
        <v>60</v>
      </c>
      <c r="V13" s="51">
        <v>12</v>
      </c>
      <c r="W13" s="53">
        <v>45315</v>
      </c>
      <c r="X13" s="52">
        <f>IFERROR(EDATE(IF(W13="",Z13,W13),S13),"-")</f>
        <v>46046</v>
      </c>
      <c r="Y13" s="52">
        <f>IFERROR(EDATE(IF(W13="",Z13,W13),U13),"-")</f>
        <v>47142</v>
      </c>
      <c r="Z13" s="53">
        <v>45315</v>
      </c>
      <c r="AA13" s="53">
        <v>46387</v>
      </c>
      <c r="AB13" s="43" t="s">
        <v>311</v>
      </c>
      <c r="AC13" s="43" t="s">
        <v>312</v>
      </c>
      <c r="AD13" s="43" t="s">
        <v>313</v>
      </c>
      <c r="AE13" s="54" t="s">
        <v>314</v>
      </c>
    </row>
    <row r="14" spans="2:31" ht="31.5" customHeight="1" x14ac:dyDescent="0.3">
      <c r="B14" s="55">
        <v>10</v>
      </c>
      <c r="C14" s="56" t="s">
        <v>260</v>
      </c>
      <c r="D14" s="56" t="s">
        <v>315</v>
      </c>
      <c r="E14" s="57" t="s">
        <v>262</v>
      </c>
      <c r="F14" s="57" t="s">
        <v>316</v>
      </c>
      <c r="G14" s="58" t="s">
        <v>264</v>
      </c>
      <c r="H14" s="57" t="s">
        <v>265</v>
      </c>
      <c r="I14" s="59">
        <v>190</v>
      </c>
      <c r="J14" s="60">
        <f t="shared" si="0"/>
        <v>190</v>
      </c>
      <c r="K14" s="46"/>
      <c r="L14" s="61">
        <f t="shared" si="1"/>
        <v>190</v>
      </c>
      <c r="M14" s="62">
        <f t="shared" si="2"/>
        <v>1</v>
      </c>
      <c r="N14" s="60">
        <f t="shared" si="3"/>
        <v>0</v>
      </c>
      <c r="O14" s="56" t="s">
        <v>266</v>
      </c>
      <c r="P14" s="63" t="s">
        <v>267</v>
      </c>
      <c r="Q14" s="64">
        <v>5.0000000000000001E-3</v>
      </c>
      <c r="R14" s="57" t="s">
        <v>268</v>
      </c>
      <c r="S14" s="63" t="s">
        <v>267</v>
      </c>
      <c r="T14" s="57" t="s">
        <v>269</v>
      </c>
      <c r="U14" s="65">
        <v>36</v>
      </c>
      <c r="V14" s="63" t="s">
        <v>267</v>
      </c>
      <c r="W14" s="66">
        <f t="shared" ref="W14:W24" si="5">Z14</f>
        <v>46022</v>
      </c>
      <c r="X14" s="63" t="s">
        <v>267</v>
      </c>
      <c r="Y14" s="63" t="s">
        <v>267</v>
      </c>
      <c r="Z14" s="67">
        <v>46022</v>
      </c>
      <c r="AA14" s="67">
        <v>46356</v>
      </c>
      <c r="AB14" s="58" t="s">
        <v>317</v>
      </c>
      <c r="AC14" s="58" t="s">
        <v>312</v>
      </c>
      <c r="AD14" s="58" t="s">
        <v>272</v>
      </c>
      <c r="AE14" s="68" t="s">
        <v>318</v>
      </c>
    </row>
    <row r="15" spans="2:31" ht="31.5" customHeight="1" x14ac:dyDescent="0.3">
      <c r="B15" s="40">
        <v>11</v>
      </c>
      <c r="C15" s="41" t="s">
        <v>260</v>
      </c>
      <c r="D15" s="41" t="s">
        <v>319</v>
      </c>
      <c r="E15" s="42" t="s">
        <v>262</v>
      </c>
      <c r="F15" s="42" t="s">
        <v>316</v>
      </c>
      <c r="G15" s="43" t="s">
        <v>264</v>
      </c>
      <c r="H15" s="42" t="s">
        <v>265</v>
      </c>
      <c r="I15" s="44">
        <v>25</v>
      </c>
      <c r="J15" s="45">
        <f t="shared" si="0"/>
        <v>25</v>
      </c>
      <c r="K15" s="46"/>
      <c r="L15" s="47">
        <f t="shared" si="1"/>
        <v>25</v>
      </c>
      <c r="M15" s="48">
        <f t="shared" si="2"/>
        <v>1</v>
      </c>
      <c r="N15" s="45">
        <f t="shared" si="3"/>
        <v>0</v>
      </c>
      <c r="O15" s="41" t="s">
        <v>266</v>
      </c>
      <c r="P15" s="49" t="s">
        <v>267</v>
      </c>
      <c r="Q15" s="50">
        <v>5.0000000000000001E-3</v>
      </c>
      <c r="R15" s="42" t="s">
        <v>268</v>
      </c>
      <c r="S15" s="49" t="s">
        <v>267</v>
      </c>
      <c r="T15" s="42" t="s">
        <v>269</v>
      </c>
      <c r="U15" s="51">
        <v>36</v>
      </c>
      <c r="V15" s="49" t="s">
        <v>267</v>
      </c>
      <c r="W15" s="52">
        <f t="shared" si="5"/>
        <v>46022</v>
      </c>
      <c r="X15" s="49" t="s">
        <v>267</v>
      </c>
      <c r="Y15" s="49" t="s">
        <v>267</v>
      </c>
      <c r="Z15" s="53">
        <v>46022</v>
      </c>
      <c r="AA15" s="53">
        <v>46356</v>
      </c>
      <c r="AB15" s="43" t="s">
        <v>320</v>
      </c>
      <c r="AC15" s="43" t="s">
        <v>312</v>
      </c>
      <c r="AD15" s="43" t="s">
        <v>272</v>
      </c>
      <c r="AE15" s="54" t="s">
        <v>321</v>
      </c>
    </row>
    <row r="16" spans="2:31" ht="31.5" customHeight="1" x14ac:dyDescent="0.3">
      <c r="B16" s="55">
        <v>12</v>
      </c>
      <c r="C16" s="56" t="s">
        <v>260</v>
      </c>
      <c r="D16" s="56" t="s">
        <v>322</v>
      </c>
      <c r="E16" s="57" t="s">
        <v>323</v>
      </c>
      <c r="F16" s="57" t="s">
        <v>263</v>
      </c>
      <c r="G16" s="58" t="s">
        <v>264</v>
      </c>
      <c r="H16" s="57" t="s">
        <v>265</v>
      </c>
      <c r="I16" s="59">
        <v>100</v>
      </c>
      <c r="J16" s="60">
        <f t="shared" si="0"/>
        <v>100</v>
      </c>
      <c r="K16" s="46"/>
      <c r="L16" s="61">
        <f t="shared" si="1"/>
        <v>100</v>
      </c>
      <c r="M16" s="62">
        <f t="shared" si="2"/>
        <v>1</v>
      </c>
      <c r="N16" s="60">
        <f t="shared" si="3"/>
        <v>0</v>
      </c>
      <c r="O16" s="56" t="s">
        <v>324</v>
      </c>
      <c r="P16" s="64">
        <v>2.5000000000000001E-3</v>
      </c>
      <c r="Q16" s="24"/>
      <c r="R16" s="57" t="s">
        <v>293</v>
      </c>
      <c r="S16" s="63" t="s">
        <v>267</v>
      </c>
      <c r="T16" s="57" t="s">
        <v>276</v>
      </c>
      <c r="U16" s="65">
        <v>12</v>
      </c>
      <c r="V16" s="63" t="s">
        <v>267</v>
      </c>
      <c r="W16" s="66">
        <f t="shared" si="5"/>
        <v>45315</v>
      </c>
      <c r="X16" s="63" t="s">
        <v>267</v>
      </c>
      <c r="Y16" s="63" t="s">
        <v>267</v>
      </c>
      <c r="Z16" s="67">
        <v>45315</v>
      </c>
      <c r="AA16" s="67">
        <v>46356</v>
      </c>
      <c r="AB16" s="58" t="s">
        <v>325</v>
      </c>
      <c r="AC16" s="58" t="s">
        <v>326</v>
      </c>
      <c r="AD16" s="58" t="s">
        <v>327</v>
      </c>
      <c r="AE16" s="68" t="s">
        <v>328</v>
      </c>
    </row>
    <row r="17" spans="2:31" ht="31.5" customHeight="1" x14ac:dyDescent="0.3">
      <c r="B17" s="40">
        <v>13</v>
      </c>
      <c r="C17" s="41" t="s">
        <v>260</v>
      </c>
      <c r="D17" s="41" t="s">
        <v>329</v>
      </c>
      <c r="E17" s="42" t="s">
        <v>330</v>
      </c>
      <c r="F17" s="42" t="s">
        <v>263</v>
      </c>
      <c r="G17" s="43" t="s">
        <v>331</v>
      </c>
      <c r="H17" s="42" t="s">
        <v>265</v>
      </c>
      <c r="I17" s="44">
        <v>50</v>
      </c>
      <c r="J17" s="45">
        <f t="shared" si="0"/>
        <v>50</v>
      </c>
      <c r="K17" s="46"/>
      <c r="L17" s="47">
        <f t="shared" si="1"/>
        <v>50</v>
      </c>
      <c r="M17" s="48">
        <f t="shared" si="2"/>
        <v>1</v>
      </c>
      <c r="N17" s="45">
        <f t="shared" si="3"/>
        <v>0</v>
      </c>
      <c r="O17" s="41" t="s">
        <v>281</v>
      </c>
      <c r="P17" s="49" t="s">
        <v>267</v>
      </c>
      <c r="Q17" s="24"/>
      <c r="R17" s="42" t="s">
        <v>282</v>
      </c>
      <c r="S17" s="49" t="s">
        <v>267</v>
      </c>
      <c r="T17" s="42" t="s">
        <v>269</v>
      </c>
      <c r="U17" s="51">
        <v>12</v>
      </c>
      <c r="V17" s="49" t="s">
        <v>267</v>
      </c>
      <c r="W17" s="52">
        <f t="shared" si="5"/>
        <v>45315</v>
      </c>
      <c r="X17" s="49" t="s">
        <v>267</v>
      </c>
      <c r="Y17" s="49" t="s">
        <v>267</v>
      </c>
      <c r="Z17" s="53">
        <v>45315</v>
      </c>
      <c r="AA17" s="53">
        <v>46356</v>
      </c>
      <c r="AB17" s="43" t="s">
        <v>332</v>
      </c>
      <c r="AC17" s="43" t="s">
        <v>326</v>
      </c>
      <c r="AD17" s="43" t="s">
        <v>327</v>
      </c>
      <c r="AE17" s="54" t="s">
        <v>284</v>
      </c>
    </row>
    <row r="18" spans="2:31" ht="31.5" customHeight="1" x14ac:dyDescent="0.3">
      <c r="B18" s="55">
        <v>14</v>
      </c>
      <c r="C18" s="56" t="s">
        <v>260</v>
      </c>
      <c r="D18" s="56" t="s">
        <v>333</v>
      </c>
      <c r="E18" s="57" t="s">
        <v>334</v>
      </c>
      <c r="F18" s="57" t="s">
        <v>263</v>
      </c>
      <c r="G18" s="58" t="s">
        <v>335</v>
      </c>
      <c r="H18" s="57" t="s">
        <v>336</v>
      </c>
      <c r="I18" s="59">
        <v>11</v>
      </c>
      <c r="J18" s="60">
        <f>MIN(I18*FX_USD_INR/10,100)</f>
        <v>100</v>
      </c>
      <c r="K18" s="46"/>
      <c r="L18" s="61">
        <f t="shared" si="1"/>
        <v>100</v>
      </c>
      <c r="M18" s="62">
        <f t="shared" si="2"/>
        <v>1</v>
      </c>
      <c r="N18" s="60">
        <f t="shared" si="3"/>
        <v>0</v>
      </c>
      <c r="O18" s="56" t="s">
        <v>92</v>
      </c>
      <c r="P18" s="63" t="s">
        <v>267</v>
      </c>
      <c r="Q18" s="24"/>
      <c r="R18" s="57" t="s">
        <v>293</v>
      </c>
      <c r="S18" s="63" t="s">
        <v>267</v>
      </c>
      <c r="T18" s="57" t="s">
        <v>337</v>
      </c>
      <c r="U18" s="65">
        <v>6</v>
      </c>
      <c r="V18" s="65">
        <v>1</v>
      </c>
      <c r="W18" s="66">
        <f t="shared" si="5"/>
        <v>45729</v>
      </c>
      <c r="X18" s="63" t="s">
        <v>267</v>
      </c>
      <c r="Y18" s="63" t="s">
        <v>267</v>
      </c>
      <c r="Z18" s="67">
        <v>45729</v>
      </c>
      <c r="AA18" s="67">
        <v>46356</v>
      </c>
      <c r="AB18" s="58" t="s">
        <v>338</v>
      </c>
      <c r="AC18" s="58" t="s">
        <v>339</v>
      </c>
      <c r="AD18" s="58" t="s">
        <v>340</v>
      </c>
      <c r="AE18" s="68" t="s">
        <v>341</v>
      </c>
    </row>
    <row r="19" spans="2:31" ht="31.5" customHeight="1" x14ac:dyDescent="0.3">
      <c r="B19" s="40">
        <v>15</v>
      </c>
      <c r="C19" s="41" t="s">
        <v>260</v>
      </c>
      <c r="D19" s="41" t="s">
        <v>342</v>
      </c>
      <c r="E19" s="42" t="s">
        <v>334</v>
      </c>
      <c r="F19" s="42" t="s">
        <v>263</v>
      </c>
      <c r="G19" s="43" t="s">
        <v>335</v>
      </c>
      <c r="H19" s="42" t="s">
        <v>336</v>
      </c>
      <c r="I19" s="44">
        <v>20</v>
      </c>
      <c r="J19" s="45">
        <f>MIN(I19*FX_USD_INR/10,172)</f>
        <v>172</v>
      </c>
      <c r="K19" s="46"/>
      <c r="L19" s="47">
        <f t="shared" si="1"/>
        <v>172</v>
      </c>
      <c r="M19" s="48">
        <f t="shared" si="2"/>
        <v>1</v>
      </c>
      <c r="N19" s="45">
        <f t="shared" si="3"/>
        <v>0</v>
      </c>
      <c r="O19" s="41" t="s">
        <v>92</v>
      </c>
      <c r="P19" s="49" t="s">
        <v>267</v>
      </c>
      <c r="Q19" s="24"/>
      <c r="R19" s="42" t="s">
        <v>293</v>
      </c>
      <c r="S19" s="49" t="s">
        <v>267</v>
      </c>
      <c r="T19" s="42" t="s">
        <v>337</v>
      </c>
      <c r="U19" s="51">
        <v>36</v>
      </c>
      <c r="V19" s="51">
        <v>1</v>
      </c>
      <c r="W19" s="52">
        <f t="shared" si="5"/>
        <v>45743</v>
      </c>
      <c r="X19" s="49" t="s">
        <v>267</v>
      </c>
      <c r="Y19" s="49" t="s">
        <v>267</v>
      </c>
      <c r="Z19" s="53">
        <v>45743</v>
      </c>
      <c r="AA19" s="53">
        <v>46356</v>
      </c>
      <c r="AB19" s="43" t="s">
        <v>343</v>
      </c>
      <c r="AC19" s="43" t="s">
        <v>339</v>
      </c>
      <c r="AD19" s="43" t="s">
        <v>344</v>
      </c>
      <c r="AE19" s="54" t="s">
        <v>345</v>
      </c>
    </row>
    <row r="20" spans="2:31" ht="31.5" customHeight="1" x14ac:dyDescent="0.3">
      <c r="B20" s="55">
        <v>16</v>
      </c>
      <c r="C20" s="56" t="s">
        <v>346</v>
      </c>
      <c r="D20" s="56" t="s">
        <v>347</v>
      </c>
      <c r="E20" s="57" t="s">
        <v>279</v>
      </c>
      <c r="F20" s="57" t="s">
        <v>263</v>
      </c>
      <c r="G20" s="58" t="s">
        <v>348</v>
      </c>
      <c r="H20" s="57" t="s">
        <v>265</v>
      </c>
      <c r="I20" s="59">
        <v>100</v>
      </c>
      <c r="J20" s="60">
        <f t="shared" ref="J20:J38" si="6">I20</f>
        <v>100</v>
      </c>
      <c r="K20" s="46"/>
      <c r="L20" s="61">
        <f t="shared" si="1"/>
        <v>100</v>
      </c>
      <c r="M20" s="62">
        <f t="shared" si="2"/>
        <v>1</v>
      </c>
      <c r="N20" s="60">
        <f t="shared" si="3"/>
        <v>0</v>
      </c>
      <c r="O20" s="56" t="s">
        <v>281</v>
      </c>
      <c r="P20" s="63" t="s">
        <v>267</v>
      </c>
      <c r="Q20" s="24"/>
      <c r="R20" s="57" t="s">
        <v>282</v>
      </c>
      <c r="S20" s="63" t="s">
        <v>267</v>
      </c>
      <c r="T20" s="57" t="s">
        <v>269</v>
      </c>
      <c r="U20" s="65">
        <v>3</v>
      </c>
      <c r="V20" s="63" t="s">
        <v>267</v>
      </c>
      <c r="W20" s="66">
        <f t="shared" si="5"/>
        <v>46100</v>
      </c>
      <c r="X20" s="63" t="s">
        <v>267</v>
      </c>
      <c r="Y20" s="63" t="s">
        <v>267</v>
      </c>
      <c r="Z20" s="67">
        <v>46100</v>
      </c>
      <c r="AA20" s="67">
        <v>46142</v>
      </c>
      <c r="AB20" s="58" t="s">
        <v>338</v>
      </c>
      <c r="AC20" s="58" t="s">
        <v>349</v>
      </c>
      <c r="AD20" s="58" t="s">
        <v>350</v>
      </c>
      <c r="AE20" s="68" t="s">
        <v>351</v>
      </c>
    </row>
    <row r="21" spans="2:31" ht="31.5" customHeight="1" x14ac:dyDescent="0.3">
      <c r="B21" s="40">
        <v>17</v>
      </c>
      <c r="C21" s="41" t="s">
        <v>346</v>
      </c>
      <c r="D21" s="41" t="s">
        <v>291</v>
      </c>
      <c r="E21" s="42" t="s">
        <v>279</v>
      </c>
      <c r="F21" s="42" t="s">
        <v>263</v>
      </c>
      <c r="G21" s="43" t="s">
        <v>352</v>
      </c>
      <c r="H21" s="42" t="s">
        <v>265</v>
      </c>
      <c r="I21" s="44">
        <v>25</v>
      </c>
      <c r="J21" s="45">
        <f t="shared" si="6"/>
        <v>25</v>
      </c>
      <c r="K21" s="46"/>
      <c r="L21" s="47">
        <f t="shared" si="1"/>
        <v>25</v>
      </c>
      <c r="M21" s="48">
        <f t="shared" si="2"/>
        <v>1</v>
      </c>
      <c r="N21" s="45">
        <f t="shared" si="3"/>
        <v>0</v>
      </c>
      <c r="O21" s="41" t="s">
        <v>353</v>
      </c>
      <c r="P21" s="50">
        <v>6.9999999999999999E-4</v>
      </c>
      <c r="Q21" s="24">
        <f>BMK_3M_MCLR_YBL+P21</f>
        <v>9.0700000000000003E-2</v>
      </c>
      <c r="R21" s="42" t="s">
        <v>293</v>
      </c>
      <c r="S21" s="49" t="s">
        <v>267</v>
      </c>
      <c r="T21" s="42" t="s">
        <v>276</v>
      </c>
      <c r="U21" s="51">
        <v>12</v>
      </c>
      <c r="V21" s="49" t="s">
        <v>267</v>
      </c>
      <c r="W21" s="52">
        <f t="shared" si="5"/>
        <v>46100</v>
      </c>
      <c r="X21" s="49" t="s">
        <v>267</v>
      </c>
      <c r="Y21" s="49" t="s">
        <v>267</v>
      </c>
      <c r="Z21" s="53">
        <v>46100</v>
      </c>
      <c r="AA21" s="69" t="s">
        <v>354</v>
      </c>
      <c r="AB21" s="43" t="s">
        <v>297</v>
      </c>
      <c r="AC21" s="43" t="s">
        <v>355</v>
      </c>
      <c r="AD21" s="43" t="s">
        <v>350</v>
      </c>
      <c r="AE21" s="54" t="s">
        <v>356</v>
      </c>
    </row>
    <row r="22" spans="2:31" ht="31.5" customHeight="1" x14ac:dyDescent="0.3">
      <c r="B22" s="55">
        <v>18</v>
      </c>
      <c r="C22" s="56" t="s">
        <v>346</v>
      </c>
      <c r="D22" s="56" t="s">
        <v>357</v>
      </c>
      <c r="E22" s="57" t="s">
        <v>262</v>
      </c>
      <c r="F22" s="57" t="s">
        <v>263</v>
      </c>
      <c r="G22" s="58" t="s">
        <v>264</v>
      </c>
      <c r="H22" s="57" t="s">
        <v>265</v>
      </c>
      <c r="I22" s="59">
        <v>200</v>
      </c>
      <c r="J22" s="60">
        <f t="shared" si="6"/>
        <v>200</v>
      </c>
      <c r="K22" s="46"/>
      <c r="L22" s="61">
        <f t="shared" si="1"/>
        <v>200</v>
      </c>
      <c r="M22" s="62">
        <f t="shared" si="2"/>
        <v>1</v>
      </c>
      <c r="N22" s="60">
        <f t="shared" si="3"/>
        <v>0</v>
      </c>
      <c r="O22" s="56" t="s">
        <v>266</v>
      </c>
      <c r="P22" s="63" t="s">
        <v>267</v>
      </c>
      <c r="Q22" s="24"/>
      <c r="R22" s="57" t="s">
        <v>268</v>
      </c>
      <c r="S22" s="63" t="s">
        <v>267</v>
      </c>
      <c r="T22" s="57" t="s">
        <v>269</v>
      </c>
      <c r="U22" s="65">
        <v>7</v>
      </c>
      <c r="V22" s="63" t="s">
        <v>267</v>
      </c>
      <c r="W22" s="66">
        <f t="shared" si="5"/>
        <v>46100</v>
      </c>
      <c r="X22" s="63" t="s">
        <v>267</v>
      </c>
      <c r="Y22" s="63" t="s">
        <v>267</v>
      </c>
      <c r="Z22" s="67">
        <v>46100</v>
      </c>
      <c r="AA22" s="67">
        <v>46472</v>
      </c>
      <c r="AB22" s="58" t="s">
        <v>358</v>
      </c>
      <c r="AC22" s="58" t="s">
        <v>355</v>
      </c>
      <c r="AD22" s="58" t="s">
        <v>350</v>
      </c>
      <c r="AE22" s="68" t="s">
        <v>359</v>
      </c>
    </row>
    <row r="23" spans="2:31" ht="31.5" customHeight="1" x14ac:dyDescent="0.3">
      <c r="B23" s="40">
        <v>19</v>
      </c>
      <c r="C23" s="41" t="s">
        <v>346</v>
      </c>
      <c r="D23" s="41" t="s">
        <v>360</v>
      </c>
      <c r="E23" s="42" t="s">
        <v>262</v>
      </c>
      <c r="F23" s="42" t="s">
        <v>263</v>
      </c>
      <c r="G23" s="43" t="s">
        <v>275</v>
      </c>
      <c r="H23" s="42" t="s">
        <v>265</v>
      </c>
      <c r="I23" s="44">
        <v>200</v>
      </c>
      <c r="J23" s="45">
        <f t="shared" si="6"/>
        <v>200</v>
      </c>
      <c r="K23" s="46"/>
      <c r="L23" s="47">
        <f t="shared" si="1"/>
        <v>200</v>
      </c>
      <c r="M23" s="48">
        <f t="shared" si="2"/>
        <v>1</v>
      </c>
      <c r="N23" s="45">
        <f t="shared" si="3"/>
        <v>0</v>
      </c>
      <c r="O23" s="41" t="s">
        <v>266</v>
      </c>
      <c r="P23" s="49" t="s">
        <v>267</v>
      </c>
      <c r="Q23" s="50">
        <v>5.0000000000000001E-3</v>
      </c>
      <c r="R23" s="42" t="s">
        <v>268</v>
      </c>
      <c r="S23" s="49" t="s">
        <v>267</v>
      </c>
      <c r="T23" s="42" t="s">
        <v>269</v>
      </c>
      <c r="U23" s="51">
        <v>6</v>
      </c>
      <c r="V23" s="49" t="s">
        <v>267</v>
      </c>
      <c r="W23" s="52">
        <f t="shared" si="5"/>
        <v>46100</v>
      </c>
      <c r="X23" s="49" t="s">
        <v>267</v>
      </c>
      <c r="Y23" s="49" t="s">
        <v>267</v>
      </c>
      <c r="Z23" s="53">
        <v>46100</v>
      </c>
      <c r="AA23" s="69" t="s">
        <v>361</v>
      </c>
      <c r="AB23" s="43" t="s">
        <v>362</v>
      </c>
      <c r="AC23" s="43" t="s">
        <v>355</v>
      </c>
      <c r="AD23" s="43" t="s">
        <v>350</v>
      </c>
      <c r="AE23" s="54" t="s">
        <v>363</v>
      </c>
    </row>
    <row r="24" spans="2:31" ht="31.5" customHeight="1" x14ac:dyDescent="0.3">
      <c r="B24" s="55">
        <v>20</v>
      </c>
      <c r="C24" s="56" t="s">
        <v>346</v>
      </c>
      <c r="D24" s="56" t="s">
        <v>296</v>
      </c>
      <c r="E24" s="57" t="s">
        <v>279</v>
      </c>
      <c r="F24" s="57" t="s">
        <v>263</v>
      </c>
      <c r="G24" s="58" t="s">
        <v>275</v>
      </c>
      <c r="H24" s="57" t="s">
        <v>265</v>
      </c>
      <c r="I24" s="59">
        <v>50</v>
      </c>
      <c r="J24" s="60">
        <f t="shared" si="6"/>
        <v>50</v>
      </c>
      <c r="K24" s="46"/>
      <c r="L24" s="61">
        <f t="shared" si="1"/>
        <v>50</v>
      </c>
      <c r="M24" s="62">
        <f t="shared" si="2"/>
        <v>1</v>
      </c>
      <c r="N24" s="60">
        <f t="shared" si="3"/>
        <v>0</v>
      </c>
      <c r="O24" s="56" t="s">
        <v>281</v>
      </c>
      <c r="P24" s="63" t="s">
        <v>267</v>
      </c>
      <c r="Q24" s="24"/>
      <c r="R24" s="57" t="s">
        <v>282</v>
      </c>
      <c r="S24" s="63" t="s">
        <v>267</v>
      </c>
      <c r="T24" s="57" t="s">
        <v>276</v>
      </c>
      <c r="U24" s="65">
        <v>6</v>
      </c>
      <c r="V24" s="63" t="s">
        <v>267</v>
      </c>
      <c r="W24" s="66">
        <f t="shared" si="5"/>
        <v>46100</v>
      </c>
      <c r="X24" s="63" t="s">
        <v>267</v>
      </c>
      <c r="Y24" s="63" t="s">
        <v>267</v>
      </c>
      <c r="Z24" s="67">
        <v>46100</v>
      </c>
      <c r="AA24" s="70" t="s">
        <v>361</v>
      </c>
      <c r="AB24" s="58" t="s">
        <v>297</v>
      </c>
      <c r="AC24" s="58" t="s">
        <v>355</v>
      </c>
      <c r="AD24" s="58" t="s">
        <v>350</v>
      </c>
      <c r="AE24" s="68" t="s">
        <v>364</v>
      </c>
    </row>
    <row r="25" spans="2:31" ht="31.5" customHeight="1" x14ac:dyDescent="0.3">
      <c r="B25" s="40">
        <v>21</v>
      </c>
      <c r="C25" s="41" t="s">
        <v>346</v>
      </c>
      <c r="D25" s="41" t="s">
        <v>365</v>
      </c>
      <c r="E25" s="42" t="s">
        <v>307</v>
      </c>
      <c r="F25" s="42" t="s">
        <v>308</v>
      </c>
      <c r="G25" s="43" t="s">
        <v>264</v>
      </c>
      <c r="H25" s="42" t="s">
        <v>265</v>
      </c>
      <c r="I25" s="44">
        <v>320.7</v>
      </c>
      <c r="J25" s="45">
        <f t="shared" si="6"/>
        <v>320.7</v>
      </c>
      <c r="K25" s="46"/>
      <c r="L25" s="47">
        <f t="shared" si="1"/>
        <v>320.7</v>
      </c>
      <c r="M25" s="48">
        <f t="shared" si="2"/>
        <v>1</v>
      </c>
      <c r="N25" s="45">
        <f t="shared" si="3"/>
        <v>0</v>
      </c>
      <c r="O25" s="41" t="s">
        <v>78</v>
      </c>
      <c r="P25" s="50">
        <v>2.52E-2</v>
      </c>
      <c r="Q25" s="24">
        <f>BMK_3M_TBILL+P25</f>
        <v>7.6999999999999999E-2</v>
      </c>
      <c r="R25" s="42" t="s">
        <v>293</v>
      </c>
      <c r="S25" s="51">
        <v>0</v>
      </c>
      <c r="T25" s="42" t="s">
        <v>310</v>
      </c>
      <c r="U25" s="51">
        <v>146</v>
      </c>
      <c r="V25" s="51">
        <v>47</v>
      </c>
      <c r="W25" s="53">
        <v>45642</v>
      </c>
      <c r="X25" s="52">
        <v>45747</v>
      </c>
      <c r="Y25" s="52">
        <v>49948</v>
      </c>
      <c r="Z25" s="53">
        <v>45744</v>
      </c>
      <c r="AA25" s="53">
        <v>46253</v>
      </c>
      <c r="AB25" s="43" t="s">
        <v>366</v>
      </c>
      <c r="AC25" s="43" t="s">
        <v>367</v>
      </c>
      <c r="AD25" s="43" t="s">
        <v>368</v>
      </c>
      <c r="AE25" s="54" t="s">
        <v>1129</v>
      </c>
    </row>
    <row r="26" spans="2:31" ht="31.5" customHeight="1" x14ac:dyDescent="0.3">
      <c r="B26" s="55">
        <v>22</v>
      </c>
      <c r="C26" s="56" t="s">
        <v>369</v>
      </c>
      <c r="D26" s="56" t="s">
        <v>370</v>
      </c>
      <c r="E26" s="57" t="s">
        <v>307</v>
      </c>
      <c r="F26" s="57" t="s">
        <v>308</v>
      </c>
      <c r="G26" s="58" t="s">
        <v>264</v>
      </c>
      <c r="H26" s="57" t="s">
        <v>265</v>
      </c>
      <c r="I26" s="59">
        <v>150</v>
      </c>
      <c r="J26" s="60">
        <f t="shared" si="6"/>
        <v>150</v>
      </c>
      <c r="K26" s="46"/>
      <c r="L26" s="61">
        <f t="shared" si="1"/>
        <v>150</v>
      </c>
      <c r="M26" s="62">
        <f t="shared" si="2"/>
        <v>1</v>
      </c>
      <c r="N26" s="60">
        <f t="shared" si="3"/>
        <v>0</v>
      </c>
      <c r="O26" s="56" t="s">
        <v>371</v>
      </c>
      <c r="P26" s="64">
        <v>1E-3</v>
      </c>
      <c r="Q26" s="64">
        <f>BMK_BFRR+P26</f>
        <v>8.6000000000000007E-2</v>
      </c>
      <c r="R26" s="57" t="s">
        <v>293</v>
      </c>
      <c r="S26" s="65">
        <v>12</v>
      </c>
      <c r="T26" s="57" t="s">
        <v>310</v>
      </c>
      <c r="U26" s="65">
        <v>96</v>
      </c>
      <c r="V26" s="65">
        <v>28</v>
      </c>
      <c r="W26" s="67">
        <v>45887</v>
      </c>
      <c r="X26" s="66">
        <f>IFERROR(EDATE(IF(W26="",Z26,W26),S26),"-")</f>
        <v>46252</v>
      </c>
      <c r="Y26" s="66">
        <f>IFERROR(EDATE(IF(W26="",Z26,W26),U26),"-")</f>
        <v>48809</v>
      </c>
      <c r="Z26" s="67">
        <v>45887</v>
      </c>
      <c r="AA26" s="67">
        <v>46265</v>
      </c>
      <c r="AB26" s="58" t="s">
        <v>372</v>
      </c>
      <c r="AC26" s="58" t="s">
        <v>373</v>
      </c>
      <c r="AD26" s="58" t="s">
        <v>374</v>
      </c>
      <c r="AE26" s="68" t="s">
        <v>375</v>
      </c>
    </row>
    <row r="27" spans="2:31" ht="31.5" customHeight="1" x14ac:dyDescent="0.3">
      <c r="B27" s="40">
        <v>23</v>
      </c>
      <c r="C27" s="41" t="s">
        <v>376</v>
      </c>
      <c r="D27" s="41" t="s">
        <v>291</v>
      </c>
      <c r="E27" s="42" t="s">
        <v>279</v>
      </c>
      <c r="F27" s="42" t="s">
        <v>263</v>
      </c>
      <c r="G27" s="43" t="s">
        <v>264</v>
      </c>
      <c r="H27" s="42" t="s">
        <v>265</v>
      </c>
      <c r="I27" s="44">
        <v>50</v>
      </c>
      <c r="J27" s="45">
        <f t="shared" si="6"/>
        <v>50</v>
      </c>
      <c r="K27" s="46"/>
      <c r="L27" s="47">
        <f t="shared" si="1"/>
        <v>50</v>
      </c>
      <c r="M27" s="48">
        <f t="shared" si="2"/>
        <v>1</v>
      </c>
      <c r="N27" s="45">
        <f t="shared" si="3"/>
        <v>0</v>
      </c>
      <c r="O27" s="41" t="s">
        <v>377</v>
      </c>
      <c r="P27" s="50">
        <v>4.4999999999999997E-3</v>
      </c>
      <c r="Q27" s="50">
        <f>BMK_6M_IMCLR_ICICI+P27</f>
        <v>8.7500000000000008E-2</v>
      </c>
      <c r="R27" s="42" t="s">
        <v>293</v>
      </c>
      <c r="S27" s="49" t="s">
        <v>267</v>
      </c>
      <c r="T27" s="42" t="s">
        <v>276</v>
      </c>
      <c r="U27" s="51">
        <v>12</v>
      </c>
      <c r="V27" s="49" t="s">
        <v>267</v>
      </c>
      <c r="W27" s="52">
        <f t="shared" ref="W27:W38" si="7">Z27</f>
        <v>45916</v>
      </c>
      <c r="X27" s="49" t="s">
        <v>267</v>
      </c>
      <c r="Y27" s="49" t="s">
        <v>267</v>
      </c>
      <c r="Z27" s="53">
        <v>45916</v>
      </c>
      <c r="AA27" s="53">
        <v>46268</v>
      </c>
      <c r="AB27" s="43" t="s">
        <v>297</v>
      </c>
      <c r="AC27" s="43" t="s">
        <v>378</v>
      </c>
      <c r="AD27" s="43" t="s">
        <v>379</v>
      </c>
      <c r="AE27" s="54" t="s">
        <v>380</v>
      </c>
    </row>
    <row r="28" spans="2:31" ht="31.5" customHeight="1" x14ac:dyDescent="0.3">
      <c r="B28" s="55">
        <v>24</v>
      </c>
      <c r="C28" s="56" t="s">
        <v>376</v>
      </c>
      <c r="D28" s="56" t="s">
        <v>296</v>
      </c>
      <c r="E28" s="57" t="s">
        <v>279</v>
      </c>
      <c r="F28" s="57" t="s">
        <v>263</v>
      </c>
      <c r="G28" s="58" t="s">
        <v>381</v>
      </c>
      <c r="H28" s="57" t="s">
        <v>265</v>
      </c>
      <c r="I28" s="59">
        <v>50</v>
      </c>
      <c r="J28" s="60">
        <f t="shared" si="6"/>
        <v>50</v>
      </c>
      <c r="K28" s="46"/>
      <c r="L28" s="61">
        <f t="shared" si="1"/>
        <v>50</v>
      </c>
      <c r="M28" s="62">
        <f t="shared" si="2"/>
        <v>1</v>
      </c>
      <c r="N28" s="60">
        <f t="shared" si="3"/>
        <v>0</v>
      </c>
      <c r="O28" s="56" t="s">
        <v>382</v>
      </c>
      <c r="P28" s="222" t="s">
        <v>267</v>
      </c>
      <c r="Q28" s="221">
        <f>BMK_REPO+IF(ISNUMBER(P28),P28,0)</f>
        <v>5.2499999999999998E-2</v>
      </c>
      <c r="R28" s="57" t="s">
        <v>293</v>
      </c>
      <c r="S28" s="63" t="s">
        <v>267</v>
      </c>
      <c r="T28" s="57" t="s">
        <v>269</v>
      </c>
      <c r="U28" s="65">
        <v>3</v>
      </c>
      <c r="V28" s="63" t="s">
        <v>267</v>
      </c>
      <c r="W28" s="66">
        <f t="shared" si="7"/>
        <v>45972</v>
      </c>
      <c r="X28" s="63" t="s">
        <v>267</v>
      </c>
      <c r="Y28" s="63" t="s">
        <v>267</v>
      </c>
      <c r="Z28" s="67">
        <v>45972</v>
      </c>
      <c r="AA28" s="67">
        <v>46268</v>
      </c>
      <c r="AB28" s="58" t="s">
        <v>383</v>
      </c>
      <c r="AC28" s="58" t="s">
        <v>378</v>
      </c>
      <c r="AD28" s="58" t="s">
        <v>384</v>
      </c>
      <c r="AE28" s="68" t="s">
        <v>1134</v>
      </c>
    </row>
    <row r="29" spans="2:31" ht="31.5" customHeight="1" x14ac:dyDescent="0.3">
      <c r="B29" s="40">
        <v>25</v>
      </c>
      <c r="C29" s="41" t="s">
        <v>376</v>
      </c>
      <c r="D29" s="41" t="s">
        <v>385</v>
      </c>
      <c r="E29" s="42" t="s">
        <v>262</v>
      </c>
      <c r="F29" s="42" t="s">
        <v>263</v>
      </c>
      <c r="G29" s="43" t="s">
        <v>264</v>
      </c>
      <c r="H29" s="42" t="s">
        <v>265</v>
      </c>
      <c r="I29" s="44">
        <v>150</v>
      </c>
      <c r="J29" s="45">
        <f t="shared" si="6"/>
        <v>150</v>
      </c>
      <c r="K29" s="46"/>
      <c r="L29" s="47">
        <f t="shared" si="1"/>
        <v>150</v>
      </c>
      <c r="M29" s="48">
        <f t="shared" si="2"/>
        <v>1</v>
      </c>
      <c r="N29" s="45">
        <f t="shared" si="3"/>
        <v>0</v>
      </c>
      <c r="O29" s="41" t="s">
        <v>266</v>
      </c>
      <c r="P29" s="49" t="s">
        <v>267</v>
      </c>
      <c r="Q29" s="50">
        <v>5.0000000000000001E-3</v>
      </c>
      <c r="R29" s="42" t="s">
        <v>268</v>
      </c>
      <c r="S29" s="49" t="s">
        <v>267</v>
      </c>
      <c r="T29" s="42" t="s">
        <v>269</v>
      </c>
      <c r="U29" s="51">
        <v>5</v>
      </c>
      <c r="V29" s="49" t="s">
        <v>267</v>
      </c>
      <c r="W29" s="52">
        <f t="shared" si="7"/>
        <v>45916</v>
      </c>
      <c r="X29" s="49" t="s">
        <v>267</v>
      </c>
      <c r="Y29" s="49" t="s">
        <v>267</v>
      </c>
      <c r="Z29" s="53">
        <v>45916</v>
      </c>
      <c r="AA29" s="53">
        <v>46268</v>
      </c>
      <c r="AB29" s="43" t="s">
        <v>386</v>
      </c>
      <c r="AC29" s="43" t="s">
        <v>378</v>
      </c>
      <c r="AD29" s="43" t="s">
        <v>379</v>
      </c>
      <c r="AE29" s="54" t="s">
        <v>387</v>
      </c>
    </row>
    <row r="30" spans="2:31" ht="31.5" customHeight="1" x14ac:dyDescent="0.3">
      <c r="B30" s="55">
        <v>26</v>
      </c>
      <c r="C30" s="56" t="s">
        <v>376</v>
      </c>
      <c r="D30" s="56" t="s">
        <v>388</v>
      </c>
      <c r="E30" s="57" t="s">
        <v>262</v>
      </c>
      <c r="F30" s="57" t="s">
        <v>263</v>
      </c>
      <c r="G30" s="58" t="s">
        <v>389</v>
      </c>
      <c r="H30" s="57" t="s">
        <v>265</v>
      </c>
      <c r="I30" s="59">
        <v>150</v>
      </c>
      <c r="J30" s="60">
        <f t="shared" si="6"/>
        <v>150</v>
      </c>
      <c r="K30" s="46"/>
      <c r="L30" s="61">
        <f t="shared" si="1"/>
        <v>150</v>
      </c>
      <c r="M30" s="62">
        <f t="shared" si="2"/>
        <v>1</v>
      </c>
      <c r="N30" s="60">
        <f t="shared" si="3"/>
        <v>0</v>
      </c>
      <c r="O30" s="56" t="s">
        <v>266</v>
      </c>
      <c r="P30" s="63" t="s">
        <v>267</v>
      </c>
      <c r="Q30" s="64">
        <v>5.0000000000000001E-3</v>
      </c>
      <c r="R30" s="57" t="s">
        <v>268</v>
      </c>
      <c r="S30" s="63" t="s">
        <v>267</v>
      </c>
      <c r="T30" s="57" t="s">
        <v>269</v>
      </c>
      <c r="U30" s="65">
        <v>5</v>
      </c>
      <c r="V30" s="63" t="s">
        <v>267</v>
      </c>
      <c r="W30" s="66">
        <f t="shared" si="7"/>
        <v>45916</v>
      </c>
      <c r="X30" s="63" t="s">
        <v>267</v>
      </c>
      <c r="Y30" s="63" t="s">
        <v>267</v>
      </c>
      <c r="Z30" s="67">
        <v>45916</v>
      </c>
      <c r="AA30" s="67">
        <v>46268</v>
      </c>
      <c r="AB30" s="58" t="s">
        <v>390</v>
      </c>
      <c r="AC30" s="58" t="s">
        <v>378</v>
      </c>
      <c r="AD30" s="58" t="s">
        <v>379</v>
      </c>
      <c r="AE30" s="68" t="s">
        <v>391</v>
      </c>
    </row>
    <row r="31" spans="2:31" ht="31.5" customHeight="1" x14ac:dyDescent="0.3">
      <c r="B31" s="40">
        <v>27</v>
      </c>
      <c r="C31" s="41" t="s">
        <v>376</v>
      </c>
      <c r="D31" s="41" t="s">
        <v>392</v>
      </c>
      <c r="E31" s="42" t="s">
        <v>262</v>
      </c>
      <c r="F31" s="42" t="s">
        <v>263</v>
      </c>
      <c r="G31" s="43" t="s">
        <v>389</v>
      </c>
      <c r="H31" s="42" t="s">
        <v>265</v>
      </c>
      <c r="I31" s="44">
        <v>25</v>
      </c>
      <c r="J31" s="45">
        <f t="shared" si="6"/>
        <v>25</v>
      </c>
      <c r="K31" s="46"/>
      <c r="L31" s="47">
        <f t="shared" si="1"/>
        <v>25</v>
      </c>
      <c r="M31" s="48">
        <f t="shared" si="2"/>
        <v>1</v>
      </c>
      <c r="N31" s="45">
        <f t="shared" si="3"/>
        <v>0</v>
      </c>
      <c r="O31" s="41" t="s">
        <v>266</v>
      </c>
      <c r="P31" s="49" t="s">
        <v>267</v>
      </c>
      <c r="Q31" s="50">
        <v>5.0000000000000001E-3</v>
      </c>
      <c r="R31" s="42" t="s">
        <v>268</v>
      </c>
      <c r="S31" s="49" t="s">
        <v>267</v>
      </c>
      <c r="T31" s="42" t="s">
        <v>269</v>
      </c>
      <c r="U31" s="51">
        <v>36</v>
      </c>
      <c r="V31" s="49" t="s">
        <v>267</v>
      </c>
      <c r="W31" s="52">
        <f t="shared" si="7"/>
        <v>45916</v>
      </c>
      <c r="X31" s="49" t="s">
        <v>267</v>
      </c>
      <c r="Y31" s="49" t="s">
        <v>267</v>
      </c>
      <c r="Z31" s="53">
        <v>45916</v>
      </c>
      <c r="AA31" s="53">
        <v>46268</v>
      </c>
      <c r="AB31" s="43" t="s">
        <v>393</v>
      </c>
      <c r="AC31" s="43" t="s">
        <v>378</v>
      </c>
      <c r="AD31" s="43" t="s">
        <v>379</v>
      </c>
      <c r="AE31" s="54" t="s">
        <v>394</v>
      </c>
    </row>
    <row r="32" spans="2:31" ht="31.5" customHeight="1" x14ac:dyDescent="0.3">
      <c r="B32" s="55">
        <v>28</v>
      </c>
      <c r="C32" s="56" t="s">
        <v>376</v>
      </c>
      <c r="D32" s="56" t="s">
        <v>395</v>
      </c>
      <c r="E32" s="57" t="s">
        <v>262</v>
      </c>
      <c r="F32" s="57" t="s">
        <v>263</v>
      </c>
      <c r="G32" s="58" t="s">
        <v>389</v>
      </c>
      <c r="H32" s="57" t="s">
        <v>265</v>
      </c>
      <c r="I32" s="59">
        <v>5</v>
      </c>
      <c r="J32" s="60">
        <f t="shared" si="6"/>
        <v>5</v>
      </c>
      <c r="K32" s="46"/>
      <c r="L32" s="61">
        <f t="shared" si="1"/>
        <v>5</v>
      </c>
      <c r="M32" s="62">
        <f t="shared" si="2"/>
        <v>1</v>
      </c>
      <c r="N32" s="60">
        <f t="shared" si="3"/>
        <v>0</v>
      </c>
      <c r="O32" s="56" t="s">
        <v>266</v>
      </c>
      <c r="P32" s="63" t="s">
        <v>267</v>
      </c>
      <c r="Q32" s="64">
        <v>6.0000000000000001E-3</v>
      </c>
      <c r="R32" s="57" t="s">
        <v>268</v>
      </c>
      <c r="S32" s="63" t="s">
        <v>267</v>
      </c>
      <c r="T32" s="57" t="s">
        <v>269</v>
      </c>
      <c r="U32" s="65">
        <v>36</v>
      </c>
      <c r="V32" s="63" t="s">
        <v>267</v>
      </c>
      <c r="W32" s="66">
        <f t="shared" si="7"/>
        <v>45916</v>
      </c>
      <c r="X32" s="63" t="s">
        <v>267</v>
      </c>
      <c r="Y32" s="63" t="s">
        <v>267</v>
      </c>
      <c r="Z32" s="67">
        <v>45916</v>
      </c>
      <c r="AA32" s="67">
        <v>46268</v>
      </c>
      <c r="AB32" s="58" t="s">
        <v>396</v>
      </c>
      <c r="AC32" s="58" t="s">
        <v>378</v>
      </c>
      <c r="AD32" s="58" t="s">
        <v>379</v>
      </c>
      <c r="AE32" s="68" t="s">
        <v>397</v>
      </c>
    </row>
    <row r="33" spans="2:31" ht="31.5" customHeight="1" x14ac:dyDescent="0.3">
      <c r="B33" s="40">
        <v>29</v>
      </c>
      <c r="C33" s="41" t="s">
        <v>398</v>
      </c>
      <c r="D33" s="41" t="s">
        <v>399</v>
      </c>
      <c r="E33" s="42" t="s">
        <v>279</v>
      </c>
      <c r="F33" s="42" t="s">
        <v>263</v>
      </c>
      <c r="G33" s="43" t="s">
        <v>389</v>
      </c>
      <c r="H33" s="42" t="s">
        <v>265</v>
      </c>
      <c r="I33" s="44">
        <v>50</v>
      </c>
      <c r="J33" s="45">
        <f t="shared" si="6"/>
        <v>50</v>
      </c>
      <c r="K33" s="46"/>
      <c r="L33" s="47">
        <f t="shared" si="1"/>
        <v>50</v>
      </c>
      <c r="M33" s="48">
        <f t="shared" si="2"/>
        <v>1</v>
      </c>
      <c r="N33" s="45">
        <f t="shared" si="3"/>
        <v>0</v>
      </c>
      <c r="O33" s="41" t="s">
        <v>400</v>
      </c>
      <c r="P33" s="50">
        <v>4.4999999999999997E-3</v>
      </c>
      <c r="Q33" s="50">
        <f>BMK_12M_MCLR_SIB+P33</f>
        <v>0.10200000000000001</v>
      </c>
      <c r="R33" s="42" t="s">
        <v>293</v>
      </c>
      <c r="S33" s="49" t="s">
        <v>267</v>
      </c>
      <c r="T33" s="42" t="s">
        <v>276</v>
      </c>
      <c r="U33" s="51">
        <v>12</v>
      </c>
      <c r="V33" s="49" t="s">
        <v>267</v>
      </c>
      <c r="W33" s="52">
        <f t="shared" si="7"/>
        <v>45829</v>
      </c>
      <c r="X33" s="49" t="s">
        <v>267</v>
      </c>
      <c r="Y33" s="49" t="s">
        <v>267</v>
      </c>
      <c r="Z33" s="53">
        <v>45829</v>
      </c>
      <c r="AA33" s="69" t="s">
        <v>401</v>
      </c>
      <c r="AB33" s="43" t="s">
        <v>402</v>
      </c>
      <c r="AC33" s="43" t="s">
        <v>378</v>
      </c>
      <c r="AD33" s="43" t="s">
        <v>403</v>
      </c>
      <c r="AE33" s="54" t="s">
        <v>404</v>
      </c>
    </row>
    <row r="34" spans="2:31" ht="31.5" customHeight="1" x14ac:dyDescent="0.3">
      <c r="B34" s="55">
        <v>30</v>
      </c>
      <c r="C34" s="56" t="s">
        <v>398</v>
      </c>
      <c r="D34" s="56" t="s">
        <v>405</v>
      </c>
      <c r="E34" s="57" t="s">
        <v>279</v>
      </c>
      <c r="F34" s="57" t="s">
        <v>263</v>
      </c>
      <c r="G34" s="58" t="s">
        <v>406</v>
      </c>
      <c r="H34" s="57" t="s">
        <v>265</v>
      </c>
      <c r="I34" s="59">
        <v>50</v>
      </c>
      <c r="J34" s="60">
        <f t="shared" si="6"/>
        <v>50</v>
      </c>
      <c r="K34" s="46"/>
      <c r="L34" s="61">
        <f t="shared" si="1"/>
        <v>50</v>
      </c>
      <c r="M34" s="62">
        <f t="shared" si="2"/>
        <v>1</v>
      </c>
      <c r="N34" s="60">
        <f t="shared" si="3"/>
        <v>0</v>
      </c>
      <c r="O34" s="56" t="s">
        <v>281</v>
      </c>
      <c r="P34" s="63" t="s">
        <v>267</v>
      </c>
      <c r="Q34" s="24"/>
      <c r="R34" s="57" t="s">
        <v>282</v>
      </c>
      <c r="S34" s="63" t="s">
        <v>267</v>
      </c>
      <c r="T34" s="57" t="s">
        <v>269</v>
      </c>
      <c r="U34" s="65">
        <v>12</v>
      </c>
      <c r="V34" s="63" t="s">
        <v>267</v>
      </c>
      <c r="W34" s="66">
        <f t="shared" si="7"/>
        <v>45829</v>
      </c>
      <c r="X34" s="63" t="s">
        <v>267</v>
      </c>
      <c r="Y34" s="63" t="s">
        <v>267</v>
      </c>
      <c r="Z34" s="67">
        <v>45829</v>
      </c>
      <c r="AA34" s="70" t="s">
        <v>401</v>
      </c>
      <c r="AB34" s="58" t="s">
        <v>383</v>
      </c>
      <c r="AC34" s="58" t="s">
        <v>378</v>
      </c>
      <c r="AD34" s="58" t="s">
        <v>403</v>
      </c>
      <c r="AE34" s="68" t="s">
        <v>407</v>
      </c>
    </row>
    <row r="35" spans="2:31" ht="31.5" customHeight="1" x14ac:dyDescent="0.3">
      <c r="B35" s="40">
        <v>31</v>
      </c>
      <c r="C35" s="41" t="s">
        <v>398</v>
      </c>
      <c r="D35" s="41" t="s">
        <v>408</v>
      </c>
      <c r="E35" s="42" t="s">
        <v>262</v>
      </c>
      <c r="F35" s="42" t="s">
        <v>263</v>
      </c>
      <c r="G35" s="43" t="s">
        <v>264</v>
      </c>
      <c r="H35" s="42" t="s">
        <v>265</v>
      </c>
      <c r="I35" s="44">
        <v>150</v>
      </c>
      <c r="J35" s="45">
        <f t="shared" si="6"/>
        <v>150</v>
      </c>
      <c r="K35" s="46"/>
      <c r="L35" s="47">
        <f t="shared" si="1"/>
        <v>150</v>
      </c>
      <c r="M35" s="48">
        <f t="shared" si="2"/>
        <v>1</v>
      </c>
      <c r="N35" s="45">
        <f t="shared" si="3"/>
        <v>0</v>
      </c>
      <c r="O35" s="41" t="s">
        <v>266</v>
      </c>
      <c r="P35" s="49" t="s">
        <v>267</v>
      </c>
      <c r="Q35" s="50">
        <v>6.4999999999999997E-3</v>
      </c>
      <c r="R35" s="42" t="s">
        <v>268</v>
      </c>
      <c r="S35" s="49" t="s">
        <v>267</v>
      </c>
      <c r="T35" s="42" t="s">
        <v>269</v>
      </c>
      <c r="U35" s="51">
        <v>6</v>
      </c>
      <c r="V35" s="49" t="s">
        <v>267</v>
      </c>
      <c r="W35" s="52">
        <f t="shared" si="7"/>
        <v>45829</v>
      </c>
      <c r="X35" s="49" t="s">
        <v>267</v>
      </c>
      <c r="Y35" s="49" t="s">
        <v>267</v>
      </c>
      <c r="Z35" s="53">
        <v>45829</v>
      </c>
      <c r="AA35" s="69" t="s">
        <v>401</v>
      </c>
      <c r="AB35" s="43" t="s">
        <v>409</v>
      </c>
      <c r="AC35" s="43" t="s">
        <v>378</v>
      </c>
      <c r="AD35" s="43" t="s">
        <v>403</v>
      </c>
      <c r="AE35" s="54" t="s">
        <v>410</v>
      </c>
    </row>
    <row r="36" spans="2:31" ht="31.5" customHeight="1" x14ac:dyDescent="0.3">
      <c r="B36" s="55">
        <v>32</v>
      </c>
      <c r="C36" s="56" t="s">
        <v>398</v>
      </c>
      <c r="D36" s="56" t="s">
        <v>319</v>
      </c>
      <c r="E36" s="57" t="s">
        <v>262</v>
      </c>
      <c r="F36" s="57" t="s">
        <v>263</v>
      </c>
      <c r="G36" s="58" t="s">
        <v>411</v>
      </c>
      <c r="H36" s="57" t="s">
        <v>265</v>
      </c>
      <c r="I36" s="59">
        <v>50</v>
      </c>
      <c r="J36" s="60">
        <f t="shared" si="6"/>
        <v>50</v>
      </c>
      <c r="K36" s="46"/>
      <c r="L36" s="61">
        <f t="shared" si="1"/>
        <v>50</v>
      </c>
      <c r="M36" s="62">
        <f t="shared" si="2"/>
        <v>1</v>
      </c>
      <c r="N36" s="60">
        <f t="shared" si="3"/>
        <v>0</v>
      </c>
      <c r="O36" s="56" t="s">
        <v>266</v>
      </c>
      <c r="P36" s="63" t="s">
        <v>267</v>
      </c>
      <c r="Q36" s="64">
        <v>7.4999999999999997E-3</v>
      </c>
      <c r="R36" s="57" t="s">
        <v>268</v>
      </c>
      <c r="S36" s="63" t="s">
        <v>267</v>
      </c>
      <c r="T36" s="57" t="s">
        <v>269</v>
      </c>
      <c r="U36" s="65">
        <v>12</v>
      </c>
      <c r="V36" s="63" t="s">
        <v>267</v>
      </c>
      <c r="W36" s="66">
        <f t="shared" si="7"/>
        <v>45829</v>
      </c>
      <c r="X36" s="63" t="s">
        <v>267</v>
      </c>
      <c r="Y36" s="63" t="s">
        <v>267</v>
      </c>
      <c r="Z36" s="67">
        <v>45829</v>
      </c>
      <c r="AA36" s="70" t="s">
        <v>401</v>
      </c>
      <c r="AB36" s="58" t="s">
        <v>412</v>
      </c>
      <c r="AC36" s="58" t="s">
        <v>378</v>
      </c>
      <c r="AD36" s="58" t="s">
        <v>403</v>
      </c>
      <c r="AE36" s="68" t="s">
        <v>413</v>
      </c>
    </row>
    <row r="37" spans="2:31" ht="31.5" customHeight="1" x14ac:dyDescent="0.3">
      <c r="B37" s="40">
        <v>33</v>
      </c>
      <c r="C37" s="41" t="s">
        <v>398</v>
      </c>
      <c r="D37" s="41" t="s">
        <v>285</v>
      </c>
      <c r="E37" s="42" t="s">
        <v>262</v>
      </c>
      <c r="F37" s="42" t="s">
        <v>263</v>
      </c>
      <c r="G37" s="43" t="s">
        <v>389</v>
      </c>
      <c r="H37" s="42" t="s">
        <v>265</v>
      </c>
      <c r="I37" s="44">
        <v>150</v>
      </c>
      <c r="J37" s="45">
        <f t="shared" si="6"/>
        <v>150</v>
      </c>
      <c r="K37" s="46"/>
      <c r="L37" s="47">
        <f t="shared" si="1"/>
        <v>150</v>
      </c>
      <c r="M37" s="48">
        <f t="shared" si="2"/>
        <v>1</v>
      </c>
      <c r="N37" s="45">
        <f t="shared" si="3"/>
        <v>0</v>
      </c>
      <c r="O37" s="41" t="s">
        <v>266</v>
      </c>
      <c r="P37" s="49" t="s">
        <v>267</v>
      </c>
      <c r="Q37" s="50">
        <v>6.4999999999999997E-3</v>
      </c>
      <c r="R37" s="42" t="s">
        <v>268</v>
      </c>
      <c r="S37" s="49" t="s">
        <v>267</v>
      </c>
      <c r="T37" s="42" t="s">
        <v>269</v>
      </c>
      <c r="U37" s="51">
        <v>4</v>
      </c>
      <c r="V37" s="49" t="s">
        <v>267</v>
      </c>
      <c r="W37" s="52">
        <f t="shared" si="7"/>
        <v>45829</v>
      </c>
      <c r="X37" s="49" t="s">
        <v>267</v>
      </c>
      <c r="Y37" s="49" t="s">
        <v>267</v>
      </c>
      <c r="Z37" s="53">
        <v>45829</v>
      </c>
      <c r="AA37" s="69" t="s">
        <v>401</v>
      </c>
      <c r="AB37" s="43" t="s">
        <v>414</v>
      </c>
      <c r="AC37" s="43" t="s">
        <v>378</v>
      </c>
      <c r="AD37" s="43" t="s">
        <v>403</v>
      </c>
      <c r="AE37" s="54" t="s">
        <v>415</v>
      </c>
    </row>
    <row r="38" spans="2:31" ht="31.5" customHeight="1" x14ac:dyDescent="0.3">
      <c r="B38" s="55">
        <v>34</v>
      </c>
      <c r="C38" s="56" t="s">
        <v>398</v>
      </c>
      <c r="D38" s="56" t="s">
        <v>416</v>
      </c>
      <c r="E38" s="57" t="s">
        <v>300</v>
      </c>
      <c r="F38" s="57" t="s">
        <v>263</v>
      </c>
      <c r="G38" s="58" t="s">
        <v>264</v>
      </c>
      <c r="H38" s="57" t="s">
        <v>265</v>
      </c>
      <c r="I38" s="59">
        <v>3</v>
      </c>
      <c r="J38" s="60">
        <f t="shared" si="6"/>
        <v>3</v>
      </c>
      <c r="K38" s="46"/>
      <c r="L38" s="61">
        <f t="shared" si="1"/>
        <v>3</v>
      </c>
      <c r="M38" s="62">
        <f t="shared" si="2"/>
        <v>1</v>
      </c>
      <c r="N38" s="60">
        <f t="shared" si="3"/>
        <v>0</v>
      </c>
      <c r="O38" s="56" t="s">
        <v>228</v>
      </c>
      <c r="P38" s="63" t="s">
        <v>267</v>
      </c>
      <c r="Q38" s="64">
        <v>0</v>
      </c>
      <c r="R38" s="57" t="s">
        <v>268</v>
      </c>
      <c r="S38" s="63" t="s">
        <v>267</v>
      </c>
      <c r="T38" s="57" t="s">
        <v>302</v>
      </c>
      <c r="U38" s="65">
        <v>12</v>
      </c>
      <c r="V38" s="63" t="s">
        <v>267</v>
      </c>
      <c r="W38" s="66">
        <f t="shared" si="7"/>
        <v>45829</v>
      </c>
      <c r="X38" s="63" t="s">
        <v>267</v>
      </c>
      <c r="Y38" s="63" t="s">
        <v>267</v>
      </c>
      <c r="Z38" s="67">
        <v>45829</v>
      </c>
      <c r="AA38" s="70" t="s">
        <v>401</v>
      </c>
      <c r="AB38" s="58" t="s">
        <v>417</v>
      </c>
      <c r="AC38" s="58" t="s">
        <v>228</v>
      </c>
      <c r="AD38" s="58" t="s">
        <v>403</v>
      </c>
      <c r="AE38" s="68" t="s">
        <v>418</v>
      </c>
    </row>
    <row r="39" spans="2:31" ht="25.5" customHeight="1" x14ac:dyDescent="0.3">
      <c r="B39" s="304" t="s">
        <v>419</v>
      </c>
      <c r="C39" s="304"/>
      <c r="D39" s="304"/>
      <c r="E39" s="304"/>
      <c r="F39" s="304"/>
      <c r="G39" s="304"/>
      <c r="H39" s="304"/>
      <c r="I39" s="71"/>
      <c r="J39" s="72">
        <f>SUM(J5:J38)</f>
        <v>3410.7</v>
      </c>
      <c r="K39" s="72">
        <f>SUM(K5:K38)</f>
        <v>0</v>
      </c>
      <c r="L39" s="72">
        <f>SUM(L5:L38)</f>
        <v>3410.7</v>
      </c>
      <c r="M39" s="73">
        <f>IFERROR(SUMPRODUCT('Facility Master'!$M$5:$M$38,'Facility Master'!$J$5:$J$38)/SUM('Facility Master'!$J$5:$J$38),0)</f>
        <v>1</v>
      </c>
      <c r="N39" s="72">
        <f>SUM(N5:N38)</f>
        <v>0</v>
      </c>
      <c r="O39" s="71"/>
      <c r="P39" s="71"/>
      <c r="Q39" s="73">
        <f>IFERROR(SUMPRODUCT('Facility Master'!$Q$5:$Q$38,'Facility Master'!$L$5:$L$38)/SUMIFS('Facility Master'!$L$5:$L$38,'Facility Master'!$Q$5:$Q$38,"&gt;0"),0)</f>
        <v>3.8681820188021361E-2</v>
      </c>
      <c r="R39" s="71"/>
      <c r="S39" s="71"/>
      <c r="T39" s="71"/>
      <c r="U39" s="71"/>
      <c r="V39" s="71"/>
      <c r="W39" s="71"/>
      <c r="X39" s="71"/>
      <c r="Y39" s="71"/>
      <c r="Z39" s="71"/>
      <c r="AA39" s="71"/>
      <c r="AB39" s="71"/>
      <c r="AC39" s="71"/>
      <c r="AD39" s="71"/>
      <c r="AE39" s="71"/>
    </row>
  </sheetData>
  <mergeCells count="2">
    <mergeCell ref="B2:AE2"/>
    <mergeCell ref="B39:H39"/>
  </mergeCells>
  <conditionalFormatting sqref="L5">
    <cfRule type="expression" dxfId="59" priority="4">
      <formula>$L$5&gt;$J$5</formula>
    </cfRule>
  </conditionalFormatting>
  <conditionalFormatting sqref="L6">
    <cfRule type="expression" dxfId="58" priority="5">
      <formula>$L$6&gt;$J$6</formula>
    </cfRule>
  </conditionalFormatting>
  <conditionalFormatting sqref="L7">
    <cfRule type="expression" dxfId="57" priority="6">
      <formula>$L$7&gt;$J$7</formula>
    </cfRule>
  </conditionalFormatting>
  <conditionalFormatting sqref="L8">
    <cfRule type="expression" dxfId="56" priority="7">
      <formula>$L$8&gt;$J$8</formula>
    </cfRule>
  </conditionalFormatting>
  <conditionalFormatting sqref="L9">
    <cfRule type="expression" dxfId="55" priority="8">
      <formula>$L$9&gt;$J$9</formula>
    </cfRule>
  </conditionalFormatting>
  <conditionalFormatting sqref="L10">
    <cfRule type="expression" dxfId="54" priority="9">
      <formula>$L$10&gt;$J$10</formula>
    </cfRule>
  </conditionalFormatting>
  <conditionalFormatting sqref="L11">
    <cfRule type="expression" dxfId="53" priority="10">
      <formula>$L$11&gt;$J$11</formula>
    </cfRule>
  </conditionalFormatting>
  <conditionalFormatting sqref="L12">
    <cfRule type="expression" dxfId="52" priority="11">
      <formula>$L$12&gt;$J$12</formula>
    </cfRule>
  </conditionalFormatting>
  <conditionalFormatting sqref="L13">
    <cfRule type="expression" dxfId="51" priority="12">
      <formula>$L$13&gt;$J$13</formula>
    </cfRule>
  </conditionalFormatting>
  <conditionalFormatting sqref="L14">
    <cfRule type="expression" dxfId="50" priority="13">
      <formula>$L$14&gt;$J$14</formula>
    </cfRule>
  </conditionalFormatting>
  <conditionalFormatting sqref="L15">
    <cfRule type="expression" dxfId="49" priority="14">
      <formula>$L$15&gt;$J$15</formula>
    </cfRule>
  </conditionalFormatting>
  <conditionalFormatting sqref="L16">
    <cfRule type="expression" dxfId="48" priority="15">
      <formula>$L$16&gt;$J$16</formula>
    </cfRule>
  </conditionalFormatting>
  <conditionalFormatting sqref="L17">
    <cfRule type="expression" dxfId="47" priority="16">
      <formula>$L$17&gt;$J$17</formula>
    </cfRule>
  </conditionalFormatting>
  <conditionalFormatting sqref="L18">
    <cfRule type="expression" dxfId="46" priority="17">
      <formula>$L$18&gt;$J$18</formula>
    </cfRule>
  </conditionalFormatting>
  <conditionalFormatting sqref="L19">
    <cfRule type="expression" dxfId="45" priority="18">
      <formula>$L$19&gt;$J$19</formula>
    </cfRule>
  </conditionalFormatting>
  <conditionalFormatting sqref="L20">
    <cfRule type="expression" dxfId="44" priority="19">
      <formula>$L$20&gt;$J$20</formula>
    </cfRule>
  </conditionalFormatting>
  <conditionalFormatting sqref="L21">
    <cfRule type="expression" dxfId="43" priority="20">
      <formula>$L$21&gt;$J$21</formula>
    </cfRule>
  </conditionalFormatting>
  <conditionalFormatting sqref="L22">
    <cfRule type="expression" dxfId="42" priority="21">
      <formula>$L$22&gt;$J$22</formula>
    </cfRule>
  </conditionalFormatting>
  <conditionalFormatting sqref="L23">
    <cfRule type="expression" dxfId="41" priority="22">
      <formula>$L$23&gt;$J$23</formula>
    </cfRule>
  </conditionalFormatting>
  <conditionalFormatting sqref="L24">
    <cfRule type="expression" dxfId="40" priority="23">
      <formula>$L$24&gt;$J$24</formula>
    </cfRule>
  </conditionalFormatting>
  <conditionalFormatting sqref="L25">
    <cfRule type="expression" dxfId="39" priority="24">
      <formula>$L$25&gt;$J$25</formula>
    </cfRule>
  </conditionalFormatting>
  <conditionalFormatting sqref="L26">
    <cfRule type="expression" dxfId="38" priority="25">
      <formula>$L$26&gt;$J$26</formula>
    </cfRule>
  </conditionalFormatting>
  <conditionalFormatting sqref="L27">
    <cfRule type="expression" dxfId="37" priority="26">
      <formula>$L$27&gt;$J$27</formula>
    </cfRule>
  </conditionalFormatting>
  <conditionalFormatting sqref="L28">
    <cfRule type="expression" dxfId="36" priority="27">
      <formula>$L$28&gt;$J$28</formula>
    </cfRule>
  </conditionalFormatting>
  <conditionalFormatting sqref="L29">
    <cfRule type="expression" dxfId="35" priority="28">
      <formula>$L$29&gt;$J$29</formula>
    </cfRule>
  </conditionalFormatting>
  <conditionalFormatting sqref="L30">
    <cfRule type="expression" dxfId="34" priority="29">
      <formula>$L$30&gt;$J$30</formula>
    </cfRule>
  </conditionalFormatting>
  <conditionalFormatting sqref="L31">
    <cfRule type="expression" dxfId="33" priority="30">
      <formula>$L$31&gt;$J$31</formula>
    </cfRule>
  </conditionalFormatting>
  <conditionalFormatting sqref="L32">
    <cfRule type="expression" dxfId="32" priority="31">
      <formula>$L$32&gt;$J$32</formula>
    </cfRule>
  </conditionalFormatting>
  <conditionalFormatting sqref="L33">
    <cfRule type="expression" dxfId="31" priority="32">
      <formula>$L$33&gt;$J$33</formula>
    </cfRule>
  </conditionalFormatting>
  <conditionalFormatting sqref="L34">
    <cfRule type="expression" dxfId="30" priority="33">
      <formula>$L$34&gt;$J$34</formula>
    </cfRule>
  </conditionalFormatting>
  <conditionalFormatting sqref="L35">
    <cfRule type="expression" dxfId="29" priority="34">
      <formula>$L$35&gt;$J$35</formula>
    </cfRule>
  </conditionalFormatting>
  <conditionalFormatting sqref="L36">
    <cfRule type="expression" dxfId="28" priority="35">
      <formula>$L$36&gt;$J$36</formula>
    </cfRule>
  </conditionalFormatting>
  <conditionalFormatting sqref="L37">
    <cfRule type="expression" dxfId="27" priority="36">
      <formula>$L$37&gt;$J$37</formula>
    </cfRule>
  </conditionalFormatting>
  <conditionalFormatting sqref="L38">
    <cfRule type="expression" dxfId="26" priority="37">
      <formula>$L$38&gt;$J$38</formula>
    </cfRule>
  </conditionalFormatting>
  <conditionalFormatting sqref="M5:M38">
    <cfRule type="cellIs" dxfId="25" priority="2" operator="greaterThan">
      <formula>0.9</formula>
    </cfRule>
    <cfRule type="cellIs" dxfId="24" priority="3" operator="between">
      <formula>0.75</formula>
      <formula>0.9</formula>
    </cfRule>
  </conditionalFormatting>
  <dataValidations count="5">
    <dataValidation type="list" allowBlank="1" sqref="E5:E38" xr:uid="{00000000-0002-0000-0400-000000000000}">
      <formula1>"FB,NFB,FB-Term,FB-FDbacked,NFB-FDbacked,FB-FCY,Hedge"</formula1>
      <formula2>0</formula2>
    </dataValidation>
    <dataValidation type="list" allowBlank="1" sqref="F5:F38" xr:uid="{00000000-0002-0000-0400-000001000000}">
      <formula1>"Revolving,Non-Revolving"</formula1>
      <formula2>0</formula2>
    </dataValidation>
    <dataValidation type="list" allowBlank="1" sqref="H5:H38" xr:uid="{00000000-0002-0000-0400-000002000000}">
      <formula1>"INR,USD,EUR,GBP"</formula1>
      <formula2>0</formula2>
    </dataValidation>
    <dataValidation type="list" allowBlank="1" sqref="R5:R38" xr:uid="{00000000-0002-0000-0400-000003000000}">
      <formula1>"Fixed,Floating,Linked,TBD"</formula1>
      <formula2>0</formula2>
    </dataValidation>
    <dataValidation type="list" allowBlank="1" sqref="T5:T38" xr:uid="{00000000-0002-0000-0400-000004000000}">
      <formula1>"Monthly,Quarterly,Semi-Annual,Annual,Bullet,NA"</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B2:Q32"/>
  <sheetViews>
    <sheetView showGridLines="0" zoomScaleNormal="100" workbookViewId="0">
      <pane xSplit="3" ySplit="5" topLeftCell="D6" activePane="bottomRight" state="frozen"/>
      <selection pane="topRight" activeCell="D1" sqref="D1"/>
      <selection pane="bottomLeft" activeCell="A6" sqref="A6"/>
      <selection pane="bottomRight" activeCell="H6" sqref="H6"/>
    </sheetView>
  </sheetViews>
  <sheetFormatPr defaultColWidth="8.6640625" defaultRowHeight="14.4" x14ac:dyDescent="0.3"/>
  <cols>
    <col min="1" max="1" width="3" customWidth="1"/>
    <col min="2" max="2" width="5" customWidth="1"/>
    <col min="3" max="3" width="22" customWidth="1"/>
    <col min="4" max="11" width="15" customWidth="1"/>
    <col min="12" max="12" width="16" customWidth="1"/>
    <col min="13" max="13" width="14" customWidth="1"/>
    <col min="14" max="14" width="28" customWidth="1"/>
    <col min="15" max="15" width="18.5546875" customWidth="1"/>
    <col min="16" max="16" width="16.6640625" customWidth="1"/>
    <col min="17" max="17" width="13" customWidth="1"/>
  </cols>
  <sheetData>
    <row r="2" spans="2:17" ht="36" customHeight="1" x14ac:dyDescent="0.3">
      <c r="B2" s="300" t="s">
        <v>420</v>
      </c>
      <c r="C2" s="300"/>
      <c r="D2" s="300"/>
      <c r="E2" s="300"/>
      <c r="F2" s="300"/>
      <c r="G2" s="300"/>
      <c r="H2" s="300"/>
      <c r="I2" s="300"/>
      <c r="J2" s="300"/>
      <c r="K2" s="300"/>
      <c r="L2" s="300"/>
      <c r="M2" s="300"/>
      <c r="N2" s="300"/>
    </row>
    <row r="3" spans="2:17" ht="27.75" customHeight="1" x14ac:dyDescent="0.3">
      <c r="B3" s="311" t="s">
        <v>421</v>
      </c>
      <c r="C3" s="311"/>
      <c r="D3" s="311"/>
      <c r="E3" s="311"/>
      <c r="F3" s="311"/>
      <c r="G3" s="311"/>
      <c r="H3" s="311"/>
      <c r="I3" s="311"/>
      <c r="J3" s="311"/>
      <c r="K3" s="311"/>
      <c r="L3" s="311"/>
      <c r="M3" s="311"/>
      <c r="N3" s="311"/>
    </row>
    <row r="4" spans="2:17" s="126" customFormat="1" ht="7.95" customHeight="1" x14ac:dyDescent="0.3"/>
    <row r="5" spans="2:17" ht="36" customHeight="1" x14ac:dyDescent="0.3">
      <c r="B5" s="328" t="s">
        <v>422</v>
      </c>
      <c r="C5" s="328" t="s">
        <v>217</v>
      </c>
      <c r="D5" s="328" t="s">
        <v>423</v>
      </c>
      <c r="E5" s="328" t="s">
        <v>424</v>
      </c>
      <c r="F5" s="328" t="s">
        <v>425</v>
      </c>
      <c r="G5" s="328" t="s">
        <v>426</v>
      </c>
      <c r="H5" s="328" t="s">
        <v>427</v>
      </c>
      <c r="I5" s="328" t="s">
        <v>428</v>
      </c>
      <c r="J5" s="328" t="s">
        <v>429</v>
      </c>
      <c r="K5" s="328" t="s">
        <v>430</v>
      </c>
      <c r="L5" s="328" t="s">
        <v>431</v>
      </c>
      <c r="M5" s="328" t="s">
        <v>432</v>
      </c>
      <c r="N5" s="329" t="s">
        <v>433</v>
      </c>
      <c r="O5" s="328" t="s">
        <v>1125</v>
      </c>
      <c r="P5" s="328" t="s">
        <v>1126</v>
      </c>
      <c r="Q5" s="328" t="s">
        <v>1127</v>
      </c>
    </row>
    <row r="6" spans="2:17" ht="25.5" customHeight="1" x14ac:dyDescent="0.3">
      <c r="B6" s="74">
        <v>1</v>
      </c>
      <c r="C6" s="75" t="s">
        <v>260</v>
      </c>
      <c r="D6" s="76">
        <f>IFERROR(SUMIFS('Facility Master'!$J$5:$J$38,'Facility Master'!$C$5:$C$38,C6),0)</f>
        <v>1482</v>
      </c>
      <c r="E6" s="76">
        <f>IFERROR(SUMIFS('Facility Master'!$J$5:$J$38,'Facility Master'!$C$5:$C$38,C6,'Facility Master'!$E$5:$E$38,"FB")+SUMIFS('Facility Master'!$J$5:$J$38,'Facility Master'!$C$5:$C$38,C6,'Facility Master'!$E$5:$E$38,"FB-Term")+SUMIFS('Facility Master'!$J$5:$J$38,'Facility Master'!$C$5:$C$38,C6,'Facility Master'!$E$5:$E$38,"FB-FCY")+SUMIFS('Facility Master'!$J$5:$J$38,'Facility Master'!$C$5:$C$38,C6,'Facility Master'!$E$5:$E$38,"FB-FDbacked"),0)</f>
        <v>972</v>
      </c>
      <c r="F6" s="76">
        <f>IFERROR(SUMIFS('Facility Master'!$J$5:$J$38,'Facility Master'!$C$5:$C$38,C6,'Facility Master'!$E$5:$E$38,"NFB")+SUMIFS('Facility Master'!$J$5:$J$38,'Facility Master'!$C$5:$C$38,C6,'Facility Master'!$E$5:$E$38,"NFB-FDbacked"),0)</f>
        <v>490</v>
      </c>
      <c r="G6" s="76">
        <f>IFERROR(SUMIFS('Facility Master'!$J$5:$J$38,'Facility Master'!$C$5:$C$38,C6,'Facility Master'!$E$5:$E$38,"FB-Term"),0)</f>
        <v>200</v>
      </c>
      <c r="H6" s="76">
        <f>IFERROR(SUMIFS('Facility Master'!$L$5:$L$38,'Facility Master'!$C$5:$C$38,C6),0)</f>
        <v>1482</v>
      </c>
      <c r="I6" s="77">
        <f>D6-H6</f>
        <v>0</v>
      </c>
      <c r="J6" s="78">
        <f t="shared" ref="J6:J11" si="0">IFERROR(H6/D6,0)</f>
        <v>1</v>
      </c>
      <c r="K6" s="78">
        <f>IFERROR(SUMPRODUCT(('Facility Master'!$C$5:$C$38=C6)*('Facility Master'!$Q$5:$Q$38)*('Facility Master'!$L$5:$L$38))/SUMIFS('Facility Master'!$L$5:$L$38,'Facility Master'!$C$5:$C$38,C6,'Facility Master'!$Q$5:$Q$38,"&gt;0"),0)</f>
        <v>4.1486486486486486E-2</v>
      </c>
      <c r="L6" s="79">
        <f>'Facility Master'!Y13</f>
        <v>47142</v>
      </c>
      <c r="M6" s="80">
        <f>COUNTIFS('Facility Master'!$C$5:$C$38,C6)</f>
        <v>15</v>
      </c>
      <c r="N6" s="215" t="s">
        <v>434</v>
      </c>
      <c r="O6" s="217">
        <v>1182</v>
      </c>
      <c r="P6" s="217">
        <v>300</v>
      </c>
      <c r="Q6" s="218">
        <f t="shared" ref="Q6:Q11" si="1">IFERROR(H6/P6,0)</f>
        <v>4.9400000000000004</v>
      </c>
    </row>
    <row r="7" spans="2:17" ht="25.5" customHeight="1" x14ac:dyDescent="0.3">
      <c r="B7" s="74">
        <v>2</v>
      </c>
      <c r="C7" s="75" t="s">
        <v>346</v>
      </c>
      <c r="D7" s="76">
        <f>IFERROR(SUMIFS('Facility Master'!$J$5:$J$38,'Facility Master'!$C$5:$C$38,C7),0)</f>
        <v>895.7</v>
      </c>
      <c r="E7" s="76">
        <f>IFERROR(SUMIFS('Facility Master'!$J$5:$J$38,'Facility Master'!$C$5:$C$38,C7,'Facility Master'!$E$5:$E$38,"FB")+SUMIFS('Facility Master'!$J$5:$J$38,'Facility Master'!$C$5:$C$38,C7,'Facility Master'!$E$5:$E$38,"FB-Term")+SUMIFS('Facility Master'!$J$5:$J$38,'Facility Master'!$C$5:$C$38,C7,'Facility Master'!$E$5:$E$38,"FB-FCY")+SUMIFS('Facility Master'!$J$5:$J$38,'Facility Master'!$C$5:$C$38,C7,'Facility Master'!$E$5:$E$38,"FB-FDbacked"),0)</f>
        <v>495.7</v>
      </c>
      <c r="F7" s="76">
        <f>IFERROR(SUMIFS('Facility Master'!$J$5:$J$38,'Facility Master'!$C$5:$C$38,C7,'Facility Master'!$E$5:$E$38,"NFB")+SUMIFS('Facility Master'!$J$5:$J$38,'Facility Master'!$C$5:$C$38,C7,'Facility Master'!$E$5:$E$38,"NFB-FDbacked"),0)</f>
        <v>400</v>
      </c>
      <c r="G7" s="76">
        <f>IFERROR(SUMIFS('Facility Master'!$J$5:$J$38,'Facility Master'!$C$5:$C$38,C7,'Facility Master'!$E$5:$E$38,"FB-Term"),0)</f>
        <v>320.7</v>
      </c>
      <c r="H7" s="76">
        <f>IFERROR(SUMIFS('Facility Master'!$L$5:$L$38,'Facility Master'!$C$5:$C$38,C7),0)</f>
        <v>895.7</v>
      </c>
      <c r="I7" s="77">
        <f>D7-H7</f>
        <v>0</v>
      </c>
      <c r="J7" s="78">
        <f t="shared" si="0"/>
        <v>1</v>
      </c>
      <c r="K7" s="78">
        <f>IFERROR(SUMPRODUCT(('Facility Master'!$C$5:$C$38=C7)*('Facility Master'!$Q$5:$Q$38)*('Facility Master'!$L$5:$L$38))/SUMIFS('Facility Master'!$L$5:$L$38,'Facility Master'!$C$5:$C$38,C7,'Facility Master'!$Q$5:$Q$38,"&gt;0"),0)</f>
        <v>5.1239508887667207E-2</v>
      </c>
      <c r="L7" s="79">
        <f>'Facility Master'!Y25</f>
        <v>49948</v>
      </c>
      <c r="M7" s="80">
        <f>COUNTIFS('Facility Master'!$C$5:$C$38,C7)</f>
        <v>6</v>
      </c>
      <c r="N7" s="215" t="s">
        <v>435</v>
      </c>
      <c r="O7" s="217">
        <v>250</v>
      </c>
      <c r="P7" s="217">
        <v>200</v>
      </c>
      <c r="Q7" s="218">
        <f t="shared" si="1"/>
        <v>4.4785000000000004</v>
      </c>
    </row>
    <row r="8" spans="2:17" ht="25.5" customHeight="1" x14ac:dyDescent="0.3">
      <c r="B8" s="74">
        <v>3</v>
      </c>
      <c r="C8" s="75" t="s">
        <v>369</v>
      </c>
      <c r="D8" s="76">
        <f>IFERROR(SUMIFS('Facility Master'!$J$5:$J$38,'Facility Master'!$C$5:$C$38,C8),0)</f>
        <v>150</v>
      </c>
      <c r="E8" s="76">
        <f>IFERROR(SUMIFS('Facility Master'!$J$5:$J$38,'Facility Master'!$C$5:$C$38,C8,'Facility Master'!$E$5:$E$38,"FB")+SUMIFS('Facility Master'!$J$5:$J$38,'Facility Master'!$C$5:$C$38,C8,'Facility Master'!$E$5:$E$38,"FB-Term")+SUMIFS('Facility Master'!$J$5:$J$38,'Facility Master'!$C$5:$C$38,C8,'Facility Master'!$E$5:$E$38,"FB-FCY")+SUMIFS('Facility Master'!$J$5:$J$38,'Facility Master'!$C$5:$C$38,C8,'Facility Master'!$E$5:$E$38,"FB-FDbacked"),0)</f>
        <v>150</v>
      </c>
      <c r="F8" s="76">
        <f>IFERROR(SUMIFS('Facility Master'!$J$5:$J$38,'Facility Master'!$C$5:$C$38,C8,'Facility Master'!$E$5:$E$38,"NFB")+SUMIFS('Facility Master'!$J$5:$J$38,'Facility Master'!$C$5:$C$38,C8,'Facility Master'!$E$5:$E$38,"NFB-FDbacked"),0)</f>
        <v>0</v>
      </c>
      <c r="G8" s="76">
        <f>IFERROR(SUMIFS('Facility Master'!$J$5:$J$38,'Facility Master'!$C$5:$C$38,C8,'Facility Master'!$E$5:$E$38,"FB-Term"),0)</f>
        <v>150</v>
      </c>
      <c r="H8" s="76">
        <f>IFERROR(SUMIFS('Facility Master'!$L$5:$L$38,'Facility Master'!$C$5:$C$38,C8),0)</f>
        <v>150</v>
      </c>
      <c r="I8" s="77">
        <f>D8-H8</f>
        <v>0</v>
      </c>
      <c r="J8" s="78">
        <f t="shared" si="0"/>
        <v>1</v>
      </c>
      <c r="K8" s="78">
        <f>IFERROR(SUMPRODUCT(('Facility Master'!$C$5:$C$38=C8)*('Facility Master'!$Q$5:$Q$38)*('Facility Master'!$L$5:$L$38))/SUMIFS('Facility Master'!$L$5:$L$38,'Facility Master'!$C$5:$C$38,C8,'Facility Master'!$Q$5:$Q$38,"&gt;0"),0)</f>
        <v>8.6000000000000007E-2</v>
      </c>
      <c r="L8" s="79">
        <f>'Facility Master'!Y26</f>
        <v>48809</v>
      </c>
      <c r="M8" s="80">
        <f>COUNTIFS('Facility Master'!$C$5:$C$38,C8)</f>
        <v>1</v>
      </c>
      <c r="N8" s="215" t="s">
        <v>436</v>
      </c>
      <c r="O8" s="217">
        <v>0</v>
      </c>
      <c r="P8" s="217">
        <v>150</v>
      </c>
      <c r="Q8" s="218">
        <f t="shared" si="1"/>
        <v>1</v>
      </c>
    </row>
    <row r="9" spans="2:17" ht="25.5" customHeight="1" x14ac:dyDescent="0.3">
      <c r="B9" s="74">
        <v>4</v>
      </c>
      <c r="C9" s="75" t="s">
        <v>376</v>
      </c>
      <c r="D9" s="76">
        <f>IFERROR(SUMIFS('Facility Master'!$J$5:$J$38,'Facility Master'!$C$5:$C$38,C9),0)</f>
        <v>430</v>
      </c>
      <c r="E9" s="76">
        <f>IFERROR(SUMIFS('Facility Master'!$J$5:$J$38,'Facility Master'!$C$5:$C$38,C9,'Facility Master'!$E$5:$E$38,"FB")+SUMIFS('Facility Master'!$J$5:$J$38,'Facility Master'!$C$5:$C$38,C9,'Facility Master'!$E$5:$E$38,"FB-Term")+SUMIFS('Facility Master'!$J$5:$J$38,'Facility Master'!$C$5:$C$38,C9,'Facility Master'!$E$5:$E$38,"FB-FCY")+SUMIFS('Facility Master'!$J$5:$J$38,'Facility Master'!$C$5:$C$38,C9,'Facility Master'!$E$5:$E$38,"FB-FDbacked"),0)</f>
        <v>100</v>
      </c>
      <c r="F9" s="76">
        <f>IFERROR(SUMIFS('Facility Master'!$J$5:$J$38,'Facility Master'!$C$5:$C$38,C9,'Facility Master'!$E$5:$E$38,"NFB")+SUMIFS('Facility Master'!$J$5:$J$38,'Facility Master'!$C$5:$C$38,C9,'Facility Master'!$E$5:$E$38,"NFB-FDbacked"),0)</f>
        <v>330</v>
      </c>
      <c r="G9" s="76">
        <f>IFERROR(SUMIFS('Facility Master'!$J$5:$J$38,'Facility Master'!$C$5:$C$38,C9,'Facility Master'!$E$5:$E$38,"FB-Term"),0)</f>
        <v>0</v>
      </c>
      <c r="H9" s="76">
        <f>IFERROR(SUMIFS('Facility Master'!$L$5:$L$38,'Facility Master'!$C$5:$C$38,C9),0)</f>
        <v>430</v>
      </c>
      <c r="I9" s="77">
        <f>D9-H9</f>
        <v>0</v>
      </c>
      <c r="J9" s="78">
        <f t="shared" si="0"/>
        <v>1</v>
      </c>
      <c r="K9" s="78">
        <f>IFERROR(SUMPRODUCT(('Facility Master'!$C$5:$C$38=C9)*('Facility Master'!$Q$5:$Q$38)*('Facility Master'!$L$5:$L$38))/SUMIFS('Facility Master'!$L$5:$L$38,'Facility Master'!$C$5:$C$38,C9,'Facility Master'!$Q$5:$Q$38,"&gt;0"),0)</f>
        <v>2.0127906976744183E-2</v>
      </c>
      <c r="L9" s="79" t="str">
        <f>"-"</f>
        <v>-</v>
      </c>
      <c r="M9" s="80">
        <f>COUNTIFS('Facility Master'!$C$5:$C$38,C9)</f>
        <v>6</v>
      </c>
      <c r="N9" s="215" t="s">
        <v>437</v>
      </c>
      <c r="O9" s="217">
        <v>330</v>
      </c>
      <c r="P9" s="217">
        <v>200</v>
      </c>
      <c r="Q9" s="218">
        <f t="shared" si="1"/>
        <v>2.15</v>
      </c>
    </row>
    <row r="10" spans="2:17" ht="25.5" customHeight="1" x14ac:dyDescent="0.3">
      <c r="B10" s="74">
        <v>5</v>
      </c>
      <c r="C10" s="75" t="s">
        <v>398</v>
      </c>
      <c r="D10" s="76">
        <f>IFERROR(SUMIFS('Facility Master'!$J$5:$J$38,'Facility Master'!$C$5:$C$38,C10),0)</f>
        <v>453</v>
      </c>
      <c r="E10" s="76">
        <f>IFERROR(SUMIFS('Facility Master'!$J$5:$J$38,'Facility Master'!$C$5:$C$38,C10,'Facility Master'!$E$5:$E$38,"FB")+SUMIFS('Facility Master'!$J$5:$J$38,'Facility Master'!$C$5:$C$38,C10,'Facility Master'!$E$5:$E$38,"FB-Term")+SUMIFS('Facility Master'!$J$5:$J$38,'Facility Master'!$C$5:$C$38,C10,'Facility Master'!$E$5:$E$38,"FB-FCY")+SUMIFS('Facility Master'!$J$5:$J$38,'Facility Master'!$C$5:$C$38,C10,'Facility Master'!$E$5:$E$38,"FB-FDbacked"),0)</f>
        <v>100</v>
      </c>
      <c r="F10" s="76">
        <f>IFERROR(SUMIFS('Facility Master'!$J$5:$J$38,'Facility Master'!$C$5:$C$38,C10,'Facility Master'!$E$5:$E$38,"NFB")+SUMIFS('Facility Master'!$J$5:$J$38,'Facility Master'!$C$5:$C$38,C10,'Facility Master'!$E$5:$E$38,"NFB-FDbacked"),0)</f>
        <v>350</v>
      </c>
      <c r="G10" s="76">
        <f>IFERROR(SUMIFS('Facility Master'!$J$5:$J$38,'Facility Master'!$C$5:$C$38,C10,'Facility Master'!$E$5:$E$38,"FB-Term"),0)</f>
        <v>0</v>
      </c>
      <c r="H10" s="76">
        <f>IFERROR(SUMIFS('Facility Master'!$L$5:$L$38,'Facility Master'!$C$5:$C$38,C10),0)</f>
        <v>453</v>
      </c>
      <c r="I10" s="77">
        <f>D10-H10</f>
        <v>0</v>
      </c>
      <c r="J10" s="78">
        <f t="shared" si="0"/>
        <v>1</v>
      </c>
      <c r="K10" s="78">
        <f>IFERROR(SUMPRODUCT(('Facility Master'!$C$5:$C$38=C10)*('Facility Master'!$Q$5:$Q$38)*('Facility Master'!$L$5:$L$38))/SUMIFS('Facility Master'!$L$5:$L$38,'Facility Master'!$C$5:$C$38,C10,'Facility Master'!$Q$5:$Q$38,"&gt;0"),0)</f>
        <v>1.8562499999999999E-2</v>
      </c>
      <c r="L10" s="79" t="str">
        <f>"-"</f>
        <v>-</v>
      </c>
      <c r="M10" s="80">
        <f>COUNTIFS('Facility Master'!$C$5:$C$38,C10)</f>
        <v>6</v>
      </c>
      <c r="N10" s="215" t="s">
        <v>438</v>
      </c>
      <c r="O10" s="217">
        <v>250</v>
      </c>
      <c r="P10" s="217">
        <v>150</v>
      </c>
      <c r="Q10" s="218">
        <f t="shared" si="1"/>
        <v>3.02</v>
      </c>
    </row>
    <row r="11" spans="2:17" ht="25.5" customHeight="1" x14ac:dyDescent="0.3">
      <c r="B11" s="304" t="s">
        <v>439</v>
      </c>
      <c r="C11" s="304"/>
      <c r="D11" s="72">
        <f>IFERROR(SUM(D6:D10),0)</f>
        <v>3410.7</v>
      </c>
      <c r="E11" s="72">
        <f>IFERROR(SUM(E6:E10),0)</f>
        <v>1817.7</v>
      </c>
      <c r="F11" s="72">
        <f>IFERROR(SUM(F6:F10),0)</f>
        <v>1570</v>
      </c>
      <c r="G11" s="72">
        <f>IFERROR(SUM(G6:G10),0)</f>
        <v>670.7</v>
      </c>
      <c r="H11" s="72">
        <f>IFERROR(SUM(H6:H10),0)</f>
        <v>3410.7</v>
      </c>
      <c r="I11" s="72">
        <f>SUM(I6:I10)</f>
        <v>0</v>
      </c>
      <c r="J11" s="73">
        <f t="shared" si="0"/>
        <v>1</v>
      </c>
      <c r="K11" s="73">
        <f>IFERROR(SUMPRODUCT(K6:K10,H6:H10)/H11,0)</f>
        <v>4.0267984162681125E-2</v>
      </c>
      <c r="L11" s="81">
        <f>MIN('Facility Master'!Y13,'Facility Master'!Y25,'Facility Master'!Y26)</f>
        <v>47142</v>
      </c>
      <c r="M11" s="82">
        <f>SUM(M6:M10)</f>
        <v>34</v>
      </c>
      <c r="N11" s="216"/>
      <c r="O11" s="219">
        <f>SUM(O6:O10)</f>
        <v>2012</v>
      </c>
      <c r="P11" s="219">
        <f>SUM(P6:P10)</f>
        <v>1000</v>
      </c>
      <c r="Q11" s="220">
        <f t="shared" si="1"/>
        <v>3.4106999999999998</v>
      </c>
    </row>
    <row r="14" spans="2:17" ht="21.75" customHeight="1" x14ac:dyDescent="0.3">
      <c r="B14" s="312" t="s">
        <v>440</v>
      </c>
      <c r="C14" s="312"/>
      <c r="D14" s="312"/>
      <c r="E14" s="312"/>
      <c r="F14" s="312"/>
      <c r="G14" s="312"/>
      <c r="H14" s="312"/>
      <c r="I14" s="312"/>
      <c r="J14" s="312"/>
      <c r="K14" s="312"/>
      <c r="L14" s="312"/>
      <c r="M14" s="312"/>
      <c r="N14" s="312"/>
    </row>
    <row r="15" spans="2:17" ht="36" customHeight="1" x14ac:dyDescent="0.3">
      <c r="B15" s="26" t="s">
        <v>217</v>
      </c>
      <c r="C15" s="26" t="s">
        <v>441</v>
      </c>
      <c r="D15" s="26"/>
      <c r="E15" s="26" t="s">
        <v>442</v>
      </c>
      <c r="F15" s="26" t="s">
        <v>120</v>
      </c>
      <c r="G15" s="26"/>
      <c r="H15" s="26" t="s">
        <v>443</v>
      </c>
      <c r="I15" s="26"/>
      <c r="J15" s="26" t="s">
        <v>444</v>
      </c>
      <c r="K15" s="26"/>
      <c r="L15" s="26" t="s">
        <v>445</v>
      </c>
      <c r="M15" s="26"/>
      <c r="N15" s="26"/>
    </row>
    <row r="16" spans="2:17" ht="24" customHeight="1" x14ac:dyDescent="0.3">
      <c r="B16" s="32" t="s">
        <v>260</v>
      </c>
      <c r="C16" s="313" t="s">
        <v>446</v>
      </c>
      <c r="D16" s="313"/>
      <c r="E16" s="29">
        <v>300</v>
      </c>
      <c r="F16" s="314" t="s">
        <v>447</v>
      </c>
      <c r="G16" s="314"/>
      <c r="H16" s="314" t="s">
        <v>448</v>
      </c>
      <c r="I16" s="314"/>
      <c r="J16" s="314"/>
      <c r="K16" s="314"/>
      <c r="L16" s="314"/>
      <c r="M16" s="314"/>
      <c r="N16" s="314"/>
    </row>
    <row r="17" spans="2:14" ht="24" customHeight="1" x14ac:dyDescent="0.3">
      <c r="B17" s="32" t="s">
        <v>260</v>
      </c>
      <c r="C17" s="313" t="s">
        <v>449</v>
      </c>
      <c r="D17" s="313"/>
      <c r="E17" s="29">
        <v>100</v>
      </c>
      <c r="F17" s="314" t="s">
        <v>450</v>
      </c>
      <c r="G17" s="314"/>
      <c r="H17" s="314" t="s">
        <v>448</v>
      </c>
      <c r="I17" s="314"/>
      <c r="J17" s="314"/>
      <c r="K17" s="314"/>
      <c r="L17" s="314"/>
      <c r="M17" s="314"/>
      <c r="N17" s="314"/>
    </row>
    <row r="18" spans="2:14" ht="24" customHeight="1" x14ac:dyDescent="0.3">
      <c r="B18" s="32" t="s">
        <v>260</v>
      </c>
      <c r="C18" s="313" t="s">
        <v>451</v>
      </c>
      <c r="D18" s="313"/>
      <c r="E18" s="29">
        <v>200</v>
      </c>
      <c r="F18" s="314" t="s">
        <v>452</v>
      </c>
      <c r="G18" s="314"/>
      <c r="H18" s="314" t="s">
        <v>448</v>
      </c>
      <c r="I18" s="314"/>
      <c r="J18" s="314"/>
      <c r="K18" s="314"/>
      <c r="L18" s="314"/>
      <c r="M18" s="314"/>
      <c r="N18" s="314"/>
    </row>
    <row r="19" spans="2:14" ht="24" customHeight="1" x14ac:dyDescent="0.3">
      <c r="B19" s="32" t="s">
        <v>260</v>
      </c>
      <c r="C19" s="313" t="s">
        <v>453</v>
      </c>
      <c r="D19" s="313"/>
      <c r="E19" s="29">
        <v>100</v>
      </c>
      <c r="F19" s="314" t="s">
        <v>454</v>
      </c>
      <c r="G19" s="314"/>
      <c r="H19" s="314" t="s">
        <v>448</v>
      </c>
      <c r="I19" s="314"/>
      <c r="J19" s="314"/>
      <c r="K19" s="314"/>
      <c r="L19" s="314"/>
      <c r="M19" s="314"/>
      <c r="N19" s="314"/>
    </row>
    <row r="20" spans="2:14" ht="24" customHeight="1" x14ac:dyDescent="0.3">
      <c r="B20" s="32" t="s">
        <v>260</v>
      </c>
      <c r="C20" s="313" t="s">
        <v>455</v>
      </c>
      <c r="D20" s="313"/>
      <c r="E20" s="29">
        <v>172</v>
      </c>
      <c r="F20" s="314" t="s">
        <v>456</v>
      </c>
      <c r="G20" s="314"/>
      <c r="H20" s="314" t="s">
        <v>448</v>
      </c>
      <c r="I20" s="314"/>
      <c r="J20" s="314"/>
      <c r="K20" s="314"/>
      <c r="L20" s="314"/>
      <c r="M20" s="314"/>
      <c r="N20" s="314"/>
    </row>
    <row r="21" spans="2:14" ht="24" customHeight="1" x14ac:dyDescent="0.3">
      <c r="B21" s="32" t="s">
        <v>346</v>
      </c>
      <c r="C21" s="313" t="s">
        <v>457</v>
      </c>
      <c r="D21" s="313"/>
      <c r="E21" s="29">
        <v>488.85</v>
      </c>
      <c r="F21" s="314" t="s">
        <v>458</v>
      </c>
      <c r="G21" s="314"/>
      <c r="H21" s="314" t="s">
        <v>448</v>
      </c>
      <c r="I21" s="314"/>
      <c r="J21" s="314"/>
      <c r="K21" s="314"/>
      <c r="L21" s="314"/>
      <c r="M21" s="314"/>
      <c r="N21" s="314"/>
    </row>
    <row r="22" spans="2:14" ht="24" customHeight="1" x14ac:dyDescent="0.3">
      <c r="B22" s="32" t="s">
        <v>346</v>
      </c>
      <c r="C22" s="313" t="s">
        <v>459</v>
      </c>
      <c r="D22" s="313"/>
      <c r="E22" s="29">
        <v>200</v>
      </c>
      <c r="F22" s="314" t="s">
        <v>458</v>
      </c>
      <c r="G22" s="314"/>
      <c r="H22" s="314" t="s">
        <v>448</v>
      </c>
      <c r="I22" s="314"/>
      <c r="J22" s="314"/>
      <c r="K22" s="314"/>
      <c r="L22" s="314"/>
      <c r="M22" s="314"/>
      <c r="N22" s="314"/>
    </row>
    <row r="23" spans="2:14" ht="24" customHeight="1" x14ac:dyDescent="0.3">
      <c r="B23" s="32" t="s">
        <v>346</v>
      </c>
      <c r="C23" s="313" t="s">
        <v>460</v>
      </c>
      <c r="D23" s="313"/>
      <c r="E23" s="29">
        <v>50</v>
      </c>
      <c r="F23" s="314" t="s">
        <v>458</v>
      </c>
      <c r="G23" s="314"/>
      <c r="H23" s="314" t="s">
        <v>448</v>
      </c>
      <c r="I23" s="314"/>
      <c r="J23" s="314"/>
      <c r="K23" s="314"/>
      <c r="L23" s="314"/>
      <c r="M23" s="314"/>
      <c r="N23" s="314"/>
    </row>
    <row r="24" spans="2:14" ht="24" customHeight="1" x14ac:dyDescent="0.3">
      <c r="B24" s="32" t="s">
        <v>376</v>
      </c>
      <c r="C24" s="313" t="s">
        <v>461</v>
      </c>
      <c r="D24" s="313"/>
      <c r="E24" s="29">
        <v>200</v>
      </c>
      <c r="F24" s="314" t="s">
        <v>462</v>
      </c>
      <c r="G24" s="314"/>
      <c r="H24" s="314" t="s">
        <v>448</v>
      </c>
      <c r="I24" s="314"/>
      <c r="J24" s="314"/>
      <c r="K24" s="314"/>
      <c r="L24" s="314"/>
      <c r="M24" s="314"/>
      <c r="N24" s="314"/>
    </row>
    <row r="25" spans="2:14" ht="24" customHeight="1" x14ac:dyDescent="0.3">
      <c r="B25" s="32" t="s">
        <v>376</v>
      </c>
      <c r="C25" s="313" t="s">
        <v>463</v>
      </c>
      <c r="D25" s="313"/>
      <c r="E25" s="29">
        <v>50</v>
      </c>
      <c r="F25" s="314" t="s">
        <v>462</v>
      </c>
      <c r="G25" s="314"/>
      <c r="H25" s="314" t="s">
        <v>448</v>
      </c>
      <c r="I25" s="314"/>
      <c r="J25" s="314"/>
      <c r="K25" s="314"/>
      <c r="L25" s="314"/>
      <c r="M25" s="314"/>
      <c r="N25" s="314"/>
    </row>
    <row r="26" spans="2:14" ht="24" customHeight="1" x14ac:dyDescent="0.3">
      <c r="B26" s="32" t="s">
        <v>376</v>
      </c>
      <c r="C26" s="313" t="s">
        <v>464</v>
      </c>
      <c r="D26" s="313"/>
      <c r="E26" s="29">
        <v>150</v>
      </c>
      <c r="F26" s="314" t="s">
        <v>462</v>
      </c>
      <c r="G26" s="314"/>
      <c r="H26" s="314" t="s">
        <v>448</v>
      </c>
      <c r="I26" s="314"/>
      <c r="J26" s="314"/>
      <c r="K26" s="314"/>
      <c r="L26" s="314"/>
      <c r="M26" s="314"/>
      <c r="N26" s="314"/>
    </row>
    <row r="27" spans="2:14" ht="24" customHeight="1" x14ac:dyDescent="0.3">
      <c r="B27" s="32" t="s">
        <v>376</v>
      </c>
      <c r="C27" s="313" t="s">
        <v>465</v>
      </c>
      <c r="D27" s="313"/>
      <c r="E27" s="29">
        <v>25</v>
      </c>
      <c r="F27" s="314" t="s">
        <v>462</v>
      </c>
      <c r="G27" s="314"/>
      <c r="H27" s="314" t="s">
        <v>448</v>
      </c>
      <c r="I27" s="314"/>
      <c r="J27" s="314"/>
      <c r="K27" s="314"/>
      <c r="L27" s="314"/>
      <c r="M27" s="314"/>
      <c r="N27" s="314"/>
    </row>
    <row r="28" spans="2:14" ht="24" customHeight="1" x14ac:dyDescent="0.3">
      <c r="B28" s="32" t="s">
        <v>398</v>
      </c>
      <c r="C28" s="313" t="s">
        <v>466</v>
      </c>
      <c r="D28" s="313"/>
      <c r="E28" s="29">
        <v>150</v>
      </c>
      <c r="F28" s="314" t="s">
        <v>467</v>
      </c>
      <c r="G28" s="314"/>
      <c r="H28" s="314" t="s">
        <v>448</v>
      </c>
      <c r="I28" s="314"/>
      <c r="J28" s="314"/>
      <c r="K28" s="314"/>
      <c r="L28" s="314"/>
      <c r="M28" s="314"/>
      <c r="N28" s="314"/>
    </row>
    <row r="29" spans="2:14" ht="24" customHeight="1" x14ac:dyDescent="0.3">
      <c r="B29" s="32" t="s">
        <v>398</v>
      </c>
      <c r="C29" s="313" t="s">
        <v>468</v>
      </c>
      <c r="D29" s="313"/>
      <c r="E29" s="29">
        <v>3</v>
      </c>
      <c r="F29" s="314" t="s">
        <v>467</v>
      </c>
      <c r="G29" s="314"/>
      <c r="H29" s="314" t="s">
        <v>448</v>
      </c>
      <c r="I29" s="314"/>
      <c r="J29" s="314"/>
      <c r="K29" s="314"/>
      <c r="L29" s="314"/>
      <c r="M29" s="314"/>
      <c r="N29" s="314"/>
    </row>
    <row r="31" spans="2:14" ht="60" customHeight="1" x14ac:dyDescent="0.3">
      <c r="B31" s="305" t="s">
        <v>1128</v>
      </c>
      <c r="C31" s="306"/>
      <c r="D31" s="306"/>
      <c r="E31" s="306"/>
      <c r="F31" s="306"/>
      <c r="G31" s="306"/>
      <c r="H31" s="306"/>
      <c r="I31" s="306"/>
      <c r="J31" s="306"/>
      <c r="K31" s="306"/>
      <c r="L31" s="306"/>
      <c r="M31" s="306"/>
      <c r="N31" s="307"/>
    </row>
    <row r="32" spans="2:14" x14ac:dyDescent="0.3">
      <c r="B32" s="308"/>
      <c r="C32" s="309"/>
      <c r="D32" s="309"/>
      <c r="E32" s="309"/>
      <c r="F32" s="309"/>
      <c r="G32" s="309"/>
      <c r="H32" s="309"/>
      <c r="I32" s="309"/>
      <c r="J32" s="309"/>
      <c r="K32" s="309"/>
      <c r="L32" s="309"/>
      <c r="M32" s="309"/>
      <c r="N32" s="310"/>
    </row>
  </sheetData>
  <mergeCells count="48">
    <mergeCell ref="C29:D29"/>
    <mergeCell ref="F29:G29"/>
    <mergeCell ref="H29:N29"/>
    <mergeCell ref="C27:D27"/>
    <mergeCell ref="F27:G27"/>
    <mergeCell ref="H27:N27"/>
    <mergeCell ref="C28:D28"/>
    <mergeCell ref="F28:G28"/>
    <mergeCell ref="H28:N28"/>
    <mergeCell ref="C25:D25"/>
    <mergeCell ref="F25:G25"/>
    <mergeCell ref="H25:N25"/>
    <mergeCell ref="C26:D26"/>
    <mergeCell ref="F26:G26"/>
    <mergeCell ref="H26:N26"/>
    <mergeCell ref="C23:D23"/>
    <mergeCell ref="F23:G23"/>
    <mergeCell ref="H23:N23"/>
    <mergeCell ref="C24:D24"/>
    <mergeCell ref="F24:G24"/>
    <mergeCell ref="H24:N24"/>
    <mergeCell ref="C21:D21"/>
    <mergeCell ref="F21:G21"/>
    <mergeCell ref="H21:N21"/>
    <mergeCell ref="C22:D22"/>
    <mergeCell ref="F22:G22"/>
    <mergeCell ref="H22:N22"/>
    <mergeCell ref="F19:G19"/>
    <mergeCell ref="H19:N19"/>
    <mergeCell ref="C20:D20"/>
    <mergeCell ref="F20:G20"/>
    <mergeCell ref="H20:N20"/>
    <mergeCell ref="B31:N31"/>
    <mergeCell ref="B32:N32"/>
    <mergeCell ref="B2:N2"/>
    <mergeCell ref="B3:N3"/>
    <mergeCell ref="B11:C11"/>
    <mergeCell ref="B14:N14"/>
    <mergeCell ref="C16:D16"/>
    <mergeCell ref="F16:G16"/>
    <mergeCell ref="H16:N16"/>
    <mergeCell ref="C17:D17"/>
    <mergeCell ref="F17:G17"/>
    <mergeCell ref="H17:N17"/>
    <mergeCell ref="C18:D18"/>
    <mergeCell ref="F18:G18"/>
    <mergeCell ref="H18:N18"/>
    <mergeCell ref="C19:D19"/>
  </mergeCells>
  <conditionalFormatting sqref="Q6:Q10">
    <cfRule type="cellIs" dxfId="23" priority="1" operator="lessThan">
      <formula>0.7</formula>
    </cfRule>
    <cfRule type="cellIs" dxfId="22" priority="2" operator="between">
      <formula>0.7</formula>
      <formula>0.8999</formula>
    </cfRule>
    <cfRule type="cellIs" dxfId="21" priority="3" operator="greaterThanOrEqual">
      <formula>0.9</formula>
    </cfRule>
  </conditionalFormatting>
  <pageMargins left="0.75" right="0.75" top="1" bottom="1"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B9BD5"/>
  </sheetPr>
  <dimension ref="B2:P26"/>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8.6640625" defaultRowHeight="14.4" x14ac:dyDescent="0.3"/>
  <cols>
    <col min="1" max="1" width="3" customWidth="1"/>
    <col min="2" max="2" width="5" customWidth="1"/>
    <col min="3" max="3" width="16" customWidth="1"/>
    <col min="4" max="4" width="30" customWidth="1"/>
    <col min="5" max="5" width="20" customWidth="1"/>
    <col min="6" max="10" width="12" customWidth="1"/>
    <col min="11" max="11" width="20" customWidth="1"/>
    <col min="12" max="13" width="12" customWidth="1"/>
    <col min="14" max="14" width="14" customWidth="1"/>
    <col min="15" max="15" width="34.77734375" customWidth="1"/>
    <col min="16" max="16" width="255.77734375" customWidth="1"/>
  </cols>
  <sheetData>
    <row r="2" spans="2:16" ht="36" customHeight="1" x14ac:dyDescent="0.3">
      <c r="B2" s="300" t="s">
        <v>469</v>
      </c>
      <c r="C2" s="300"/>
      <c r="D2" s="300"/>
      <c r="E2" s="300"/>
      <c r="F2" s="300"/>
      <c r="G2" s="300"/>
      <c r="H2" s="300"/>
      <c r="I2" s="300"/>
      <c r="J2" s="300"/>
      <c r="K2" s="300"/>
      <c r="L2" s="300"/>
      <c r="M2" s="300"/>
      <c r="N2" s="300"/>
      <c r="O2" s="300"/>
      <c r="P2" s="300"/>
    </row>
    <row r="3" spans="2:16" ht="27.75" customHeight="1" x14ac:dyDescent="0.3">
      <c r="B3" s="311" t="s">
        <v>470</v>
      </c>
      <c r="C3" s="311"/>
      <c r="D3" s="311"/>
      <c r="E3" s="311"/>
      <c r="F3" s="311"/>
      <c r="G3" s="311"/>
      <c r="H3" s="311"/>
      <c r="I3" s="311"/>
      <c r="J3" s="311"/>
      <c r="K3" s="311"/>
      <c r="L3" s="311"/>
      <c r="M3" s="311"/>
      <c r="N3" s="311"/>
      <c r="O3" s="311"/>
      <c r="P3" s="311"/>
    </row>
    <row r="4" spans="2:16" s="126" customFormat="1" ht="7.95" customHeight="1" x14ac:dyDescent="0.3"/>
    <row r="5" spans="2:16" ht="39.75" customHeight="1" x14ac:dyDescent="0.3">
      <c r="B5" s="9" t="s">
        <v>422</v>
      </c>
      <c r="C5" s="9" t="s">
        <v>217</v>
      </c>
      <c r="D5" s="9" t="s">
        <v>218</v>
      </c>
      <c r="E5" s="9" t="s">
        <v>236</v>
      </c>
      <c r="F5" s="9" t="s">
        <v>471</v>
      </c>
      <c r="G5" s="9" t="s">
        <v>472</v>
      </c>
      <c r="H5" s="9" t="s">
        <v>473</v>
      </c>
      <c r="I5" s="9" t="s">
        <v>242</v>
      </c>
      <c r="J5" s="9" t="s">
        <v>75</v>
      </c>
      <c r="K5" s="9" t="s">
        <v>245</v>
      </c>
      <c r="L5" s="9" t="s">
        <v>474</v>
      </c>
      <c r="M5" s="9" t="s">
        <v>249</v>
      </c>
      <c r="N5" s="9" t="s">
        <v>255</v>
      </c>
      <c r="O5" s="9" t="s">
        <v>475</v>
      </c>
      <c r="P5" s="9" t="s">
        <v>259</v>
      </c>
    </row>
    <row r="6" spans="2:16" ht="31.5" customHeight="1" x14ac:dyDescent="0.3">
      <c r="B6" s="40">
        <v>1</v>
      </c>
      <c r="C6" s="83" t="str">
        <f>'Facility Master'!C7</f>
        <v>RBL Bank</v>
      </c>
      <c r="D6" s="84" t="str">
        <f>'Facility Master'!D7</f>
        <v>Invoice Discounting (PID)</v>
      </c>
      <c r="E6" s="84" t="str">
        <f>'Facility Master'!G7</f>
        <v>Standalone (under WC)</v>
      </c>
      <c r="F6" s="76">
        <f>'Facility Master'!J7</f>
        <v>100</v>
      </c>
      <c r="G6" s="76">
        <f>'Facility Master'!L7</f>
        <v>100</v>
      </c>
      <c r="H6" s="76">
        <f>'Facility Master'!N7</f>
        <v>0</v>
      </c>
      <c r="I6" s="85">
        <f>'Facility Master'!M7</f>
        <v>1</v>
      </c>
      <c r="J6" s="84" t="str">
        <f>'Facility Master'!O7</f>
        <v>To be decided</v>
      </c>
      <c r="K6" s="85" t="str">
        <f>IFERROR('Facility Master'!P7,0)</f>
        <v>-</v>
      </c>
      <c r="L6" s="85">
        <f>IFERROR('Facility Master'!Q7,0)</f>
        <v>0</v>
      </c>
      <c r="M6" s="86">
        <f>IFERROR('Facility Master'!U7,0)</f>
        <v>1</v>
      </c>
      <c r="N6" s="87">
        <f>IFERROR('Facility Master'!AA7,0)</f>
        <v>46356</v>
      </c>
      <c r="O6" s="84" t="str">
        <f>IFERROR('Facility Master'!AC7,0)</f>
        <v>1st p-p on current assets; 2nd p-p on FA; Personal guarantee</v>
      </c>
      <c r="P6" s="84" t="str">
        <f>IFERROR('Facility Master'!AE7,0)</f>
        <v>Rate not specified in sanction letter. | Validity rolled +1 year (orig: 2025-11-30) per Assumption #12: annual-renewal WC facilities presumed operationally renewed. Confirm with relationship manager.</v>
      </c>
    </row>
    <row r="7" spans="2:16" ht="31.5" customHeight="1" x14ac:dyDescent="0.3">
      <c r="B7" s="55">
        <v>2</v>
      </c>
      <c r="C7" s="83" t="str">
        <f>'Facility Master'!C9</f>
        <v>RBL Bank</v>
      </c>
      <c r="D7" s="84" t="str">
        <f>'Facility Master'!D9</f>
        <v>Pre-Acceptance LCBD</v>
      </c>
      <c r="E7" s="84" t="str">
        <f>'Facility Master'!G9</f>
        <v>Standalone (under WC)</v>
      </c>
      <c r="F7" s="76">
        <f>'Facility Master'!J9</f>
        <v>100</v>
      </c>
      <c r="G7" s="76">
        <f>'Facility Master'!L9</f>
        <v>100</v>
      </c>
      <c r="H7" s="76">
        <f>'Facility Master'!N9</f>
        <v>0</v>
      </c>
      <c r="I7" s="85">
        <f>'Facility Master'!M9</f>
        <v>1</v>
      </c>
      <c r="J7" s="84" t="str">
        <f>'Facility Master'!O9</f>
        <v>To be decided</v>
      </c>
      <c r="K7" s="85" t="str">
        <f>IFERROR('Facility Master'!P9,0)</f>
        <v>-</v>
      </c>
      <c r="L7" s="85">
        <f>IFERROR('Facility Master'!Q9,0)</f>
        <v>0</v>
      </c>
      <c r="M7" s="86" t="str">
        <f>IFERROR('Facility Master'!U9,0)</f>
        <v>-</v>
      </c>
      <c r="N7" s="87">
        <f>IFERROR('Facility Master'!AA9,0)</f>
        <v>46356</v>
      </c>
      <c r="O7" s="84" t="str">
        <f>IFERROR('Facility Master'!AC9,0)</f>
        <v>1st p-p on current assets; 2nd p-p on FA; Personal guarantee</v>
      </c>
      <c r="P7" s="84" t="str">
        <f>IFERROR('Facility Master'!AE9,0)</f>
        <v>Rate not specified in sanction letter. | Validity rolled +1 year (orig: 2025-11-30) per Assumption #12: annual-renewal WC facilities presumed operationally renewed. Confirm with relationship manager.</v>
      </c>
    </row>
    <row r="8" spans="2:16" ht="31.5" customHeight="1" x14ac:dyDescent="0.3">
      <c r="B8" s="40">
        <v>3</v>
      </c>
      <c r="C8" s="83" t="str">
        <f>'Facility Master'!C10</f>
        <v>RBL Bank</v>
      </c>
      <c r="D8" s="84" t="str">
        <f>'Facility Master'!D10</f>
        <v>Cash Credit</v>
      </c>
      <c r="E8" s="84" t="str">
        <f>'Facility Master'!G10</f>
        <v>Standalone (under WC)</v>
      </c>
      <c r="F8" s="76">
        <f>'Facility Master'!J10</f>
        <v>100</v>
      </c>
      <c r="G8" s="76">
        <f>'Facility Master'!L10</f>
        <v>100</v>
      </c>
      <c r="H8" s="76">
        <f>'Facility Master'!N10</f>
        <v>0</v>
      </c>
      <c r="I8" s="85">
        <f>'Facility Master'!M10</f>
        <v>1</v>
      </c>
      <c r="J8" s="84" t="str">
        <f>'Facility Master'!O10</f>
        <v>1Y MCLR (RBL Bank)</v>
      </c>
      <c r="K8" s="85">
        <f>IFERROR('Facility Master'!P10,0)</f>
        <v>5.0000000000000001E-4</v>
      </c>
      <c r="L8" s="85">
        <f>IFERROR('Facility Master'!Q10,0)</f>
        <v>9.0499999999999997E-2</v>
      </c>
      <c r="M8" s="86" t="str">
        <f>IFERROR('Facility Master'!U10,0)</f>
        <v>-</v>
      </c>
      <c r="N8" s="87">
        <f>IFERROR('Facility Master'!AA10,0)</f>
        <v>46356</v>
      </c>
      <c r="O8" s="84" t="str">
        <f>IFERROR('Facility Master'!AC10,0)</f>
        <v>1st p-p on current assets; 2nd p-p on FA; Personal guarantee</v>
      </c>
      <c r="P8" s="84" t="str">
        <f>IFERROR('Facility Master'!AE10,0)</f>
        <v>Pricing defined 28-Feb-2025; unchanged in 31-Dec-2025 letter. | Validity rolled +1 year (orig: 2025-11-30) per Assumption #12: annual-renewal WC facilities presumed operationally renewed. Confirm with relationship manager.</v>
      </c>
    </row>
    <row r="9" spans="2:16" ht="31.5" customHeight="1" x14ac:dyDescent="0.3">
      <c r="B9" s="55">
        <v>4</v>
      </c>
      <c r="C9" s="83" t="str">
        <f>'Facility Master'!C11</f>
        <v>RBL Bank</v>
      </c>
      <c r="D9" s="84" t="str">
        <f>'Facility Master'!D11</f>
        <v>Working Capital Demand Loan (WCDL)</v>
      </c>
      <c r="E9" s="84" t="str">
        <f>'Facility Master'!G11</f>
        <v>Sub-limit of LC (Main)</v>
      </c>
      <c r="F9" s="76">
        <f>'Facility Master'!J11</f>
        <v>100</v>
      </c>
      <c r="G9" s="76">
        <f>'Facility Master'!L11</f>
        <v>100</v>
      </c>
      <c r="H9" s="76">
        <f>'Facility Master'!N11</f>
        <v>0</v>
      </c>
      <c r="I9" s="85">
        <f>'Facility Master'!M11</f>
        <v>1</v>
      </c>
      <c r="J9" s="84" t="str">
        <f>'Facility Master'!O11</f>
        <v>To be decided</v>
      </c>
      <c r="K9" s="85" t="str">
        <f>IFERROR('Facility Master'!P11,0)</f>
        <v>-</v>
      </c>
      <c r="L9" s="85">
        <f>IFERROR('Facility Master'!Q11,0)</f>
        <v>0</v>
      </c>
      <c r="M9" s="86">
        <f>IFERROR('Facility Master'!U11,0)</f>
        <v>4</v>
      </c>
      <c r="N9" s="87">
        <f>IFERROR('Facility Master'!AA11,0)</f>
        <v>46356</v>
      </c>
      <c r="O9" s="84" t="str">
        <f>IFERROR('Facility Master'!AC11,0)</f>
        <v>1st p-p on current assets; 2nd p-p on FA; Personal guarantee</v>
      </c>
      <c r="P9" s="84" t="str">
        <f>IFERROR('Facility Master'!AE11,0)</f>
        <v>Rate set at drawdown. | Validity rolled +1 year (orig: 2025-11-30) per Assumption #12: annual-renewal WC facilities presumed operationally renewed. Confirm with relationship manager.</v>
      </c>
    </row>
    <row r="10" spans="2:16" ht="31.5" customHeight="1" x14ac:dyDescent="0.3">
      <c r="B10" s="40">
        <v>5</v>
      </c>
      <c r="C10" s="83" t="str">
        <f>'Facility Master'!C16</f>
        <v>RBL Bank</v>
      </c>
      <c r="D10" s="84" t="str">
        <f>'Facility Master'!D16</f>
        <v>Overdraft backed by 100% FD (FDOD)</v>
      </c>
      <c r="E10" s="84" t="str">
        <f>'Facility Master'!G16</f>
        <v>Main</v>
      </c>
      <c r="F10" s="76">
        <f>'Facility Master'!J16</f>
        <v>100</v>
      </c>
      <c r="G10" s="76">
        <f>'Facility Master'!L16</f>
        <v>100</v>
      </c>
      <c r="H10" s="76">
        <f>'Facility Master'!N16</f>
        <v>0</v>
      </c>
      <c r="I10" s="85">
        <f>'Facility Master'!M16</f>
        <v>1</v>
      </c>
      <c r="J10" s="84" t="str">
        <f>'Facility Master'!O16</f>
        <v>FD rate</v>
      </c>
      <c r="K10" s="85">
        <f>IFERROR('Facility Master'!P16,0)</f>
        <v>2.5000000000000001E-3</v>
      </c>
      <c r="L10" s="85">
        <f>IFERROR('Facility Master'!Q16,0)</f>
        <v>0</v>
      </c>
      <c r="M10" s="86">
        <f>IFERROR('Facility Master'!U16,0)</f>
        <v>12</v>
      </c>
      <c r="N10" s="87">
        <f>IFERROR('Facility Master'!AA16,0)</f>
        <v>46356</v>
      </c>
      <c r="O10" s="84" t="str">
        <f>IFERROR('Facility Master'!AC16,0)</f>
        <v>Exclusive charge on FD = 100% of facility</v>
      </c>
      <c r="P10" s="84" t="str">
        <f>IFERROR('Facility Master'!AE16,0)</f>
        <v>Excluded from INR 300 Cr overall cap. | Validity rolled +1 year (orig: 2025-11-30) per Assumption #12: annual-renewal WC facilities presumed operationally renewed. Confirm with relationship manager.</v>
      </c>
    </row>
    <row r="11" spans="2:16" ht="31.5" customHeight="1" x14ac:dyDescent="0.3">
      <c r="B11" s="55">
        <v>6</v>
      </c>
      <c r="C11" s="83" t="str">
        <f>'Facility Master'!C18</f>
        <v>RBL Bank</v>
      </c>
      <c r="D11" s="84" t="str">
        <f>'Facility Master'!D18</f>
        <v>Buyer's Credit from GIFT City - WC</v>
      </c>
      <c r="E11" s="84" t="str">
        <f>'Facility Master'!G18</f>
        <v>Backed by BG/SBLC from RBL</v>
      </c>
      <c r="F11" s="76">
        <f>'Facility Master'!J18</f>
        <v>100</v>
      </c>
      <c r="G11" s="76">
        <f>'Facility Master'!L18</f>
        <v>100</v>
      </c>
      <c r="H11" s="76">
        <f>'Facility Master'!N18</f>
        <v>0</v>
      </c>
      <c r="I11" s="85">
        <f>'Facility Master'!M18</f>
        <v>1</v>
      </c>
      <c r="J11" s="84" t="str">
        <f>'Facility Master'!O18</f>
        <v>Term SOFR (USD)</v>
      </c>
      <c r="K11" s="85" t="str">
        <f>IFERROR('Facility Master'!P18,0)</f>
        <v>-</v>
      </c>
      <c r="L11" s="85">
        <f>IFERROR('Facility Master'!Q18,0)</f>
        <v>0</v>
      </c>
      <c r="M11" s="86">
        <f>IFERROR('Facility Master'!U18,0)</f>
        <v>6</v>
      </c>
      <c r="N11" s="87">
        <f>IFERROR('Facility Master'!AA18,0)</f>
        <v>46356</v>
      </c>
      <c r="O11" s="84" t="str">
        <f>IFERROR('Facility Master'!AC18,0)</f>
        <v>RBL-issued BG/SBLC</v>
      </c>
      <c r="P11" s="84" t="str">
        <f>IFERROR('Facility Master'!AE18,0)</f>
        <v>Total RBL exposure (incl. LER) capped at INR 100 Cr. | Sanctioned INR capped at ₹100 Cr per sanction letter (binding limit). USD sanctioned limit is USD 11M, but total RBL exposure ring-fenced at ₹100 Cr regardless of FX. Formula: =MIN(USD×FX/10, 100). | Validity rolled +1 year (orig: 2025-11-30) per Assumption #12: annual-renewal WC facilities presumed operationally renewed. Confirm with relationship manager. | LC commission unspecified in sanction letter ('applicable commission plus taxes'). Model shows 0 pending confirmation from RM. Typical market rate for sub-180-day inland LC is 0.40%-0.60% p.a. Update Facility Master Q18 when confirmed.</v>
      </c>
    </row>
    <row r="12" spans="2:16" ht="31.5" customHeight="1" x14ac:dyDescent="0.3">
      <c r="B12" s="40">
        <v>7</v>
      </c>
      <c r="C12" s="83" t="str">
        <f>'Facility Master'!C19</f>
        <v>RBL Bank</v>
      </c>
      <c r="D12" s="84" t="str">
        <f>'Facility Master'!D19</f>
        <v>Buyer's Credit from GIFT City - CAPEX</v>
      </c>
      <c r="E12" s="84" t="str">
        <f>'Facility Master'!G19</f>
        <v>Backed by BG/SBLC from RBL</v>
      </c>
      <c r="F12" s="76">
        <f>'Facility Master'!J19</f>
        <v>172</v>
      </c>
      <c r="G12" s="76">
        <f>'Facility Master'!L19</f>
        <v>172</v>
      </c>
      <c r="H12" s="76">
        <f>'Facility Master'!N19</f>
        <v>0</v>
      </c>
      <c r="I12" s="85">
        <f>'Facility Master'!M19</f>
        <v>1</v>
      </c>
      <c r="J12" s="84" t="str">
        <f>'Facility Master'!O19</f>
        <v>Term SOFR (USD)</v>
      </c>
      <c r="K12" s="85" t="str">
        <f>IFERROR('Facility Master'!P19,0)</f>
        <v>-</v>
      </c>
      <c r="L12" s="85">
        <f>IFERROR('Facility Master'!Q19,0)</f>
        <v>0</v>
      </c>
      <c r="M12" s="86">
        <f>IFERROR('Facility Master'!U19,0)</f>
        <v>36</v>
      </c>
      <c r="N12" s="87">
        <f>IFERROR('Facility Master'!AA19,0)</f>
        <v>46356</v>
      </c>
      <c r="O12" s="84" t="str">
        <f>IFERROR('Facility Master'!AC19,0)</f>
        <v>RBL-issued BG/SBLC</v>
      </c>
      <c r="P12" s="84" t="str">
        <f>IFERROR('Facility Master'!AE19,0)</f>
        <v>Total RBL exposure capped at INR 172 Cr (implied FX ~86). | Sanctioned INR capped at ₹172 Cr per sanction letter (binding limit). USD sanctioned limit is USD 20M, but total RBL exposure ring-fenced at ₹172 Cr regardless of FX. Formula: =MIN(USD×FX/10, 172). | Validity rolled +1 year (orig: 2025-11-30) per Assumption #12: annual-renewal WC facilities presumed operationally renewed. Confirm with relationship manager.</v>
      </c>
    </row>
    <row r="13" spans="2:16" ht="31.5" customHeight="1" x14ac:dyDescent="0.3">
      <c r="B13" s="55">
        <v>8</v>
      </c>
      <c r="C13" s="83" t="str">
        <f>'Facility Master'!C20</f>
        <v>YES Bank</v>
      </c>
      <c r="D13" s="84" t="str">
        <f>'Facility Master'!D20</f>
        <v>Purchase Invoice Financing</v>
      </c>
      <c r="E13" s="84" t="str">
        <f>'Facility Master'!G20</f>
        <v>Main (New)</v>
      </c>
      <c r="F13" s="76">
        <f>'Facility Master'!J20</f>
        <v>100</v>
      </c>
      <c r="G13" s="76">
        <f>'Facility Master'!L20</f>
        <v>100</v>
      </c>
      <c r="H13" s="76">
        <f>'Facility Master'!N20</f>
        <v>0</v>
      </c>
      <c r="I13" s="85">
        <f>'Facility Master'!M20</f>
        <v>1</v>
      </c>
      <c r="J13" s="84" t="str">
        <f>'Facility Master'!O20</f>
        <v>To be decided</v>
      </c>
      <c r="K13" s="85" t="str">
        <f>IFERROR('Facility Master'!P20,0)</f>
        <v>-</v>
      </c>
      <c r="L13" s="85">
        <f>IFERROR('Facility Master'!Q20,0)</f>
        <v>0</v>
      </c>
      <c r="M13" s="86">
        <f>IFERROR('Facility Master'!U20,0)</f>
        <v>3</v>
      </c>
      <c r="N13" s="87">
        <f>IFERROR('Facility Master'!AA20,0)</f>
        <v>46142</v>
      </c>
      <c r="O13" s="84" t="str">
        <f>IFERROR('Facility Master'!AC20,0)</f>
        <v>1st p-p hypothecation over current assets</v>
      </c>
      <c r="P13" s="84" t="str">
        <f>IFERROR('Facility Master'!AE20,0)</f>
        <v>New facility; Interest payable upfront.</v>
      </c>
    </row>
    <row r="14" spans="2:16" ht="31.5" customHeight="1" x14ac:dyDescent="0.3">
      <c r="B14" s="40">
        <v>9</v>
      </c>
      <c r="C14" s="83" t="str">
        <f>'Facility Master'!C21</f>
        <v>YES Bank</v>
      </c>
      <c r="D14" s="84" t="str">
        <f>'Facility Master'!D21</f>
        <v>Cash Credit</v>
      </c>
      <c r="E14" s="84" t="str">
        <f>'Facility Master'!G21</f>
        <v>Main (re-sized 19-Mar-2026)</v>
      </c>
      <c r="F14" s="76">
        <f>'Facility Master'!J21</f>
        <v>25</v>
      </c>
      <c r="G14" s="76">
        <f>'Facility Master'!L21</f>
        <v>25</v>
      </c>
      <c r="H14" s="76">
        <f>'Facility Master'!N21</f>
        <v>0</v>
      </c>
      <c r="I14" s="85">
        <f>'Facility Master'!M21</f>
        <v>1</v>
      </c>
      <c r="J14" s="84" t="str">
        <f>'Facility Master'!O21</f>
        <v>3M MCLR (YBL)</v>
      </c>
      <c r="K14" s="85">
        <f>IFERROR('Facility Master'!P21,0)</f>
        <v>6.9999999999999999E-4</v>
      </c>
      <c r="L14" s="85">
        <f>IFERROR('Facility Master'!Q21,0)</f>
        <v>9.0700000000000003E-2</v>
      </c>
      <c r="M14" s="86">
        <f>IFERROR('Facility Master'!U21,0)</f>
        <v>12</v>
      </c>
      <c r="N14" s="87" t="str">
        <f>IFERROR('Facility Master'!AA21,0)</f>
        <v>Assumed annual review</v>
      </c>
      <c r="O14" s="84" t="str">
        <f>IFERROR('Facility Master'!AC21,0)</f>
        <v>1st p-p on CA; mortgage on Faridabad property; 2nd p-p on FA; PG</v>
      </c>
      <c r="P14" s="84" t="str">
        <f>IFERROR('Facility Master'!AE21,0)</f>
        <v>Pricing moved T-Bill+1.98% -&gt; 3M MCLR+0.07% on 19-Mar-2026.</v>
      </c>
    </row>
    <row r="15" spans="2:16" ht="31.5" customHeight="1" x14ac:dyDescent="0.3">
      <c r="B15" s="55">
        <v>10</v>
      </c>
      <c r="C15" s="83" t="str">
        <f>'Facility Master'!C24</f>
        <v>YES Bank</v>
      </c>
      <c r="D15" s="84" t="str">
        <f>'Facility Master'!D24</f>
        <v>Working Capital Demand Loan (WCDL)</v>
      </c>
      <c r="E15" s="84" t="str">
        <f>'Facility Master'!G24</f>
        <v>Sub-limit of LC (Main)</v>
      </c>
      <c r="F15" s="76">
        <f>'Facility Master'!J24</f>
        <v>50</v>
      </c>
      <c r="G15" s="76">
        <f>'Facility Master'!L24</f>
        <v>50</v>
      </c>
      <c r="H15" s="76">
        <f>'Facility Master'!N24</f>
        <v>0</v>
      </c>
      <c r="I15" s="85">
        <f>'Facility Master'!M24</f>
        <v>1</v>
      </c>
      <c r="J15" s="84" t="str">
        <f>'Facility Master'!O24</f>
        <v>To be decided</v>
      </c>
      <c r="K15" s="85" t="str">
        <f>IFERROR('Facility Master'!P24,0)</f>
        <v>-</v>
      </c>
      <c r="L15" s="85">
        <f>IFERROR('Facility Master'!Q24,0)</f>
        <v>0</v>
      </c>
      <c r="M15" s="86">
        <f>IFERROR('Facility Master'!U24,0)</f>
        <v>6</v>
      </c>
      <c r="N15" s="87" t="str">
        <f>IFERROR('Facility Master'!AA24,0)</f>
        <v>Per renewal cycle</v>
      </c>
      <c r="O15" s="84" t="str">
        <f>IFERROR('Facility Master'!AC24,0)</f>
        <v>1st p-p on CA; mortgage on Faridabad property; 2nd p-p on FA; PG</v>
      </c>
      <c r="P15" s="84" t="str">
        <f>IFERROR('Facility Master'!AE24,0)</f>
        <v>Min utilisation covenant: 40% of YBL limits.</v>
      </c>
    </row>
    <row r="16" spans="2:16" ht="31.5" customHeight="1" x14ac:dyDescent="0.3">
      <c r="B16" s="40">
        <v>11</v>
      </c>
      <c r="C16" s="83" t="str">
        <f>'Facility Master'!C27</f>
        <v>ICICI Bank</v>
      </c>
      <c r="D16" s="84" t="str">
        <f>'Facility Master'!D27</f>
        <v>Cash Credit</v>
      </c>
      <c r="E16" s="84" t="str">
        <f>'Facility Master'!G27</f>
        <v>Main</v>
      </c>
      <c r="F16" s="76">
        <f>'Facility Master'!J27</f>
        <v>50</v>
      </c>
      <c r="G16" s="76">
        <f>'Facility Master'!L27</f>
        <v>50</v>
      </c>
      <c r="H16" s="76">
        <f>'Facility Master'!N27</f>
        <v>0</v>
      </c>
      <c r="I16" s="85">
        <f>'Facility Master'!M27</f>
        <v>1</v>
      </c>
      <c r="J16" s="84" t="str">
        <f>'Facility Master'!O27</f>
        <v>6M I-MCLR (ICICI)</v>
      </c>
      <c r="K16" s="85">
        <f>IFERROR('Facility Master'!P27,0)</f>
        <v>4.4999999999999997E-3</v>
      </c>
      <c r="L16" s="85">
        <f>IFERROR('Facility Master'!Q27,0)</f>
        <v>8.7500000000000008E-2</v>
      </c>
      <c r="M16" s="86">
        <f>IFERROR('Facility Master'!U27,0)</f>
        <v>12</v>
      </c>
      <c r="N16" s="87">
        <f>IFERROR('Facility Master'!AA27,0)</f>
        <v>46268</v>
      </c>
      <c r="O16" s="84" t="str">
        <f>IFERROR('Facility Master'!AC27,0)</f>
        <v>1st p-p on CA; 2nd p-p on FA; 2nd p-p mortgage Kalinga Nagar</v>
      </c>
      <c r="P16" s="84" t="str">
        <f>IFERROR('Facility Master'!AE27,0)</f>
        <v>Reset 6 monthly; one-way interchangeability CC-&gt;LC.</v>
      </c>
    </row>
    <row r="17" spans="2:16" ht="31.5" customHeight="1" x14ac:dyDescent="0.3">
      <c r="B17" s="55">
        <v>12</v>
      </c>
      <c r="C17" s="83" t="str">
        <f>'Facility Master'!C28</f>
        <v>ICICI Bank</v>
      </c>
      <c r="D17" s="84" t="str">
        <f>'Facility Master'!D28</f>
        <v>Working Capital Demand Loan (WCDL)</v>
      </c>
      <c r="E17" s="84" t="str">
        <f>'Facility Master'!G28</f>
        <v>Sub-limit of CC</v>
      </c>
      <c r="F17" s="76">
        <f>'Facility Master'!J28</f>
        <v>50</v>
      </c>
      <c r="G17" s="76">
        <f>'Facility Master'!L28</f>
        <v>50</v>
      </c>
      <c r="H17" s="76">
        <f>'Facility Master'!N28</f>
        <v>0</v>
      </c>
      <c r="I17" s="85">
        <f>'Facility Master'!M28</f>
        <v>1</v>
      </c>
      <c r="J17" s="84" t="str">
        <f>'Facility Master'!O28</f>
        <v>Repo Rate</v>
      </c>
      <c r="K17" s="85" t="str">
        <f>IFERROR('Facility Master'!P28,0)</f>
        <v>-</v>
      </c>
      <c r="L17" s="85">
        <f>IFERROR('Facility Master'!Q28,0)</f>
        <v>5.2499999999999998E-2</v>
      </c>
      <c r="M17" s="86">
        <f>IFERROR('Facility Master'!U28,0)</f>
        <v>3</v>
      </c>
      <c r="N17" s="87">
        <f>IFERROR('Facility Master'!AA28,0)</f>
        <v>46268</v>
      </c>
      <c r="O17" s="84" t="str">
        <f>IFERROR('Facility Master'!AC28,0)</f>
        <v>1st p-p on CA; 2nd p-p on FA; 2nd p-p mortgage Kalinga Nagar</v>
      </c>
      <c r="P17" s="84" t="str">
        <f>IFERROR('Facility Master'!AE28,0)</f>
        <v>Repo reset 15D/1M/3M by tenor. 0.50% prepayment premium. | ⚠ RATE INCOMPLETE: 5.25% reflects Repo only. Spread TBD at drawdown per sanction letter (16-Sep-2025). Market convention for WCDL above Repo: 50-100 bps spread. Update Q28 / column P28 when actual rate confirmed by ICICI RM.</v>
      </c>
    </row>
    <row r="18" spans="2:16" ht="31.5" customHeight="1" x14ac:dyDescent="0.3">
      <c r="B18" s="40">
        <v>13</v>
      </c>
      <c r="C18" s="83" t="str">
        <f>'Facility Master'!C33</f>
        <v>South Indian Bank</v>
      </c>
      <c r="D18" s="84" t="str">
        <f>'Facility Master'!D33</f>
        <v>CCOL (Cash Credit)</v>
      </c>
      <c r="E18" s="84" t="str">
        <f>'Facility Master'!G33</f>
        <v>Sub-limit of LC</v>
      </c>
      <c r="F18" s="76">
        <f>'Facility Master'!J33</f>
        <v>50</v>
      </c>
      <c r="G18" s="76">
        <f>'Facility Master'!L33</f>
        <v>50</v>
      </c>
      <c r="H18" s="76">
        <f>'Facility Master'!N33</f>
        <v>0</v>
      </c>
      <c r="I18" s="85">
        <f>'Facility Master'!M33</f>
        <v>1</v>
      </c>
      <c r="J18" s="84" t="str">
        <f>'Facility Master'!O33</f>
        <v>12M MCLR (SIB)</v>
      </c>
      <c r="K18" s="85">
        <f>IFERROR('Facility Master'!P33,0)</f>
        <v>4.4999999999999997E-3</v>
      </c>
      <c r="L18" s="85">
        <f>IFERROR('Facility Master'!Q33,0)</f>
        <v>0.10200000000000001</v>
      </c>
      <c r="M18" s="86">
        <f>IFERROR('Facility Master'!U33,0)</f>
        <v>12</v>
      </c>
      <c r="N18" s="87" t="str">
        <f>IFERROR('Facility Master'!AA33,0)</f>
        <v>Annual renewal</v>
      </c>
      <c r="O18" s="84" t="str">
        <f>IFERROR('Facility Master'!AC33,0)</f>
        <v>1st p-p on CA; 2nd p-p on FA; 2nd p-p mortgage Kalinga Nagar</v>
      </c>
      <c r="P18" s="84" t="str">
        <f>IFERROR('Facility Master'!AE33,0)</f>
        <v>Annual reset.</v>
      </c>
    </row>
    <row r="19" spans="2:16" ht="31.5" customHeight="1" x14ac:dyDescent="0.3">
      <c r="B19" s="55">
        <v>14</v>
      </c>
      <c r="C19" s="83" t="str">
        <f>'Facility Master'!C34</f>
        <v>South Indian Bank</v>
      </c>
      <c r="D19" s="84" t="str">
        <f>'Facility Master'!D34</f>
        <v>WCL / WCDL</v>
      </c>
      <c r="E19" s="84" t="str">
        <f>'Facility Master'!G34</f>
        <v>Sub-limit of CCOL</v>
      </c>
      <c r="F19" s="76">
        <f>'Facility Master'!J34</f>
        <v>50</v>
      </c>
      <c r="G19" s="76">
        <f>'Facility Master'!L34</f>
        <v>50</v>
      </c>
      <c r="H19" s="76">
        <f>'Facility Master'!N34</f>
        <v>0</v>
      </c>
      <c r="I19" s="85">
        <f>'Facility Master'!M34</f>
        <v>1</v>
      </c>
      <c r="J19" s="84" t="str">
        <f>'Facility Master'!O34</f>
        <v>To be decided</v>
      </c>
      <c r="K19" s="85" t="str">
        <f>IFERROR('Facility Master'!P34,0)</f>
        <v>-</v>
      </c>
      <c r="L19" s="85">
        <f>IFERROR('Facility Master'!Q34,0)</f>
        <v>0</v>
      </c>
      <c r="M19" s="86">
        <f>IFERROR('Facility Master'!U34,0)</f>
        <v>12</v>
      </c>
      <c r="N19" s="87" t="str">
        <f>IFERROR('Facility Master'!AA34,0)</f>
        <v>Annual renewal</v>
      </c>
      <c r="O19" s="84" t="str">
        <f>IFERROR('Facility Master'!AC34,0)</f>
        <v>1st p-p on CA; 2nd p-p on FA; 2nd p-p mortgage Kalinga Nagar</v>
      </c>
      <c r="P19" s="84" t="str">
        <f>IFERROR('Facility Master'!AE34,0)</f>
        <v>Rate at each availment; rollover subject to rating/compliance.</v>
      </c>
    </row>
    <row r="20" spans="2:16" ht="25.5" customHeight="1" x14ac:dyDescent="0.3">
      <c r="B20" s="304" t="s">
        <v>439</v>
      </c>
      <c r="C20" s="304"/>
      <c r="D20" s="304"/>
      <c r="E20" s="304"/>
      <c r="F20" s="72">
        <f>SUM(F6:F19)</f>
        <v>1147</v>
      </c>
      <c r="G20" s="72">
        <f>SUM(G6:G19)</f>
        <v>1147</v>
      </c>
      <c r="H20" s="72">
        <f>SUM(H6:H19)</f>
        <v>0</v>
      </c>
      <c r="I20" s="73">
        <f>IFERROR(G20/F20,0)</f>
        <v>1</v>
      </c>
      <c r="J20" s="71"/>
      <c r="K20" s="71"/>
      <c r="L20" s="73">
        <f>IFERROR(SUMPRODUCT(L6:L19,G6:G19)/SUMIFS(G6:G19,L6:L19,"&gt;0"),0)</f>
        <v>8.5154545454545455E-2</v>
      </c>
      <c r="M20" s="71"/>
      <c r="N20" s="71"/>
      <c r="O20" s="71"/>
      <c r="P20" s="71"/>
    </row>
    <row r="22" spans="2:16" ht="21.75" customHeight="1" x14ac:dyDescent="0.3">
      <c r="B22" s="315" t="s">
        <v>476</v>
      </c>
      <c r="C22" s="315"/>
      <c r="D22" s="315"/>
      <c r="E22" s="315"/>
      <c r="F22" s="315"/>
      <c r="G22" s="315"/>
      <c r="H22" s="315"/>
      <c r="I22" s="315"/>
      <c r="J22" s="315"/>
      <c r="K22" s="315"/>
      <c r="L22" s="315"/>
      <c r="M22" s="315"/>
      <c r="N22" s="315"/>
      <c r="O22" s="315"/>
      <c r="P22" s="315"/>
    </row>
    <row r="23" spans="2:16" ht="21.75" customHeight="1" x14ac:dyDescent="0.3">
      <c r="B23" s="316" t="s">
        <v>477</v>
      </c>
      <c r="C23" s="316"/>
      <c r="D23" s="316"/>
      <c r="E23" s="316"/>
      <c r="F23" s="316"/>
      <c r="G23" s="317">
        <f>F20</f>
        <v>1147</v>
      </c>
      <c r="H23" s="317"/>
      <c r="I23" s="317"/>
    </row>
    <row r="24" spans="2:16" ht="21.75" customHeight="1" x14ac:dyDescent="0.3">
      <c r="B24" s="316" t="s">
        <v>478</v>
      </c>
      <c r="C24" s="316"/>
      <c r="D24" s="316"/>
      <c r="E24" s="316"/>
      <c r="F24" s="316"/>
      <c r="G24" s="317">
        <f>G20</f>
        <v>1147</v>
      </c>
      <c r="H24" s="317"/>
      <c r="I24" s="317"/>
    </row>
    <row r="25" spans="2:16" ht="21.75" customHeight="1" x14ac:dyDescent="0.3">
      <c r="B25" s="316" t="s">
        <v>479</v>
      </c>
      <c r="C25" s="316"/>
      <c r="D25" s="316"/>
      <c r="E25" s="316"/>
      <c r="F25" s="316"/>
      <c r="G25" s="317">
        <f>H20</f>
        <v>0</v>
      </c>
      <c r="H25" s="317"/>
      <c r="I25" s="317"/>
    </row>
    <row r="26" spans="2:16" ht="21.75" customHeight="1" x14ac:dyDescent="0.3">
      <c r="B26" s="316" t="s">
        <v>480</v>
      </c>
      <c r="C26" s="316"/>
      <c r="D26" s="316"/>
      <c r="E26" s="316"/>
      <c r="F26" s="316"/>
      <c r="G26" s="318">
        <f>L20</f>
        <v>8.5154545454545455E-2</v>
      </c>
      <c r="H26" s="318"/>
      <c r="I26" s="318"/>
    </row>
  </sheetData>
  <mergeCells count="12">
    <mergeCell ref="B24:F24"/>
    <mergeCell ref="G24:I24"/>
    <mergeCell ref="B25:F25"/>
    <mergeCell ref="G25:I25"/>
    <mergeCell ref="B26:F26"/>
    <mergeCell ref="G26:I26"/>
    <mergeCell ref="B2:P2"/>
    <mergeCell ref="B3:P3"/>
    <mergeCell ref="B20:E20"/>
    <mergeCell ref="B22:P22"/>
    <mergeCell ref="B23:F23"/>
    <mergeCell ref="G23:I2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B9BD5"/>
  </sheetPr>
  <dimension ref="B2:S9"/>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8.6640625" defaultRowHeight="14.4" x14ac:dyDescent="0.3"/>
  <cols>
    <col min="1" max="1" width="3" customWidth="1"/>
    <col min="2" max="2" width="4" customWidth="1"/>
    <col min="3" max="3" width="16" customWidth="1"/>
    <col min="4" max="4" width="28" customWidth="1"/>
    <col min="5" max="6" width="14" customWidth="1"/>
    <col min="7" max="7" width="13" customWidth="1"/>
    <col min="8" max="8" width="11" customWidth="1"/>
    <col min="9" max="11" width="13" customWidth="1"/>
    <col min="12" max="12" width="20" customWidth="1"/>
    <col min="13" max="14" width="10" customWidth="1"/>
    <col min="15" max="15" width="11" customWidth="1"/>
    <col min="16" max="17" width="13" customWidth="1"/>
    <col min="18" max="18" width="28" customWidth="1"/>
    <col min="19" max="19" width="39.21875" customWidth="1"/>
  </cols>
  <sheetData>
    <row r="2" spans="2:19" ht="36" customHeight="1" x14ac:dyDescent="0.3">
      <c r="B2" s="300" t="s">
        <v>481</v>
      </c>
      <c r="C2" s="300"/>
      <c r="D2" s="300"/>
      <c r="E2" s="300"/>
      <c r="F2" s="300"/>
      <c r="G2" s="300"/>
      <c r="H2" s="300"/>
      <c r="I2" s="300"/>
      <c r="J2" s="300"/>
      <c r="K2" s="300"/>
      <c r="L2" s="300"/>
      <c r="M2" s="300"/>
      <c r="N2" s="300"/>
      <c r="O2" s="300"/>
      <c r="P2" s="300"/>
      <c r="Q2" s="300"/>
      <c r="R2" s="300"/>
      <c r="S2" s="300"/>
    </row>
    <row r="3" spans="2:19" ht="27.75" customHeight="1" x14ac:dyDescent="0.3">
      <c r="B3" s="311" t="s">
        <v>482</v>
      </c>
      <c r="C3" s="311"/>
      <c r="D3" s="311"/>
      <c r="E3" s="311"/>
      <c r="F3" s="311"/>
      <c r="G3" s="311"/>
      <c r="H3" s="311"/>
      <c r="I3" s="311"/>
      <c r="J3" s="311"/>
      <c r="K3" s="311"/>
      <c r="L3" s="311"/>
      <c r="M3" s="311"/>
      <c r="N3" s="311"/>
      <c r="O3" s="311"/>
      <c r="P3" s="311"/>
      <c r="Q3" s="311"/>
      <c r="R3" s="311"/>
      <c r="S3" s="311"/>
    </row>
    <row r="4" spans="2:19" s="126" customFormat="1" ht="7.95" customHeight="1" x14ac:dyDescent="0.3"/>
    <row r="5" spans="2:19" ht="39.75" customHeight="1" x14ac:dyDescent="0.3">
      <c r="B5" s="9" t="s">
        <v>422</v>
      </c>
      <c r="C5" s="9" t="s">
        <v>217</v>
      </c>
      <c r="D5" s="9" t="s">
        <v>218</v>
      </c>
      <c r="E5" s="9" t="s">
        <v>471</v>
      </c>
      <c r="F5" s="9" t="s">
        <v>241</v>
      </c>
      <c r="G5" s="9" t="s">
        <v>251</v>
      </c>
      <c r="H5" s="9" t="s">
        <v>247</v>
      </c>
      <c r="I5" s="9" t="s">
        <v>483</v>
      </c>
      <c r="J5" s="9" t="s">
        <v>253</v>
      </c>
      <c r="K5" s="9" t="s">
        <v>484</v>
      </c>
      <c r="L5" s="9" t="s">
        <v>75</v>
      </c>
      <c r="M5" s="9" t="s">
        <v>245</v>
      </c>
      <c r="N5" s="9" t="s">
        <v>474</v>
      </c>
      <c r="O5" s="9" t="s">
        <v>485</v>
      </c>
      <c r="P5" s="9" t="s">
        <v>486</v>
      </c>
      <c r="Q5" s="9" t="s">
        <v>487</v>
      </c>
      <c r="R5" s="9" t="s">
        <v>488</v>
      </c>
      <c r="S5" s="9" t="s">
        <v>489</v>
      </c>
    </row>
    <row r="6" spans="2:19" ht="36" customHeight="1" x14ac:dyDescent="0.3">
      <c r="B6" s="40">
        <v>1</v>
      </c>
      <c r="C6" s="83" t="str">
        <f>'Facility Master'!C13</f>
        <v>RBL Bank</v>
      </c>
      <c r="D6" s="84" t="str">
        <f>'Facility Master'!D13</f>
        <v>Term Loan - Main Limit</v>
      </c>
      <c r="E6" s="76">
        <f>'Facility Master'!J13</f>
        <v>200</v>
      </c>
      <c r="F6" s="76">
        <f>'Facility Master'!L13</f>
        <v>200</v>
      </c>
      <c r="G6" s="87">
        <f>'Facility Master'!W13</f>
        <v>45315</v>
      </c>
      <c r="H6" s="86">
        <f>'Facility Master'!S13</f>
        <v>24</v>
      </c>
      <c r="I6" s="87">
        <f>'Facility Master'!X13</f>
        <v>46046</v>
      </c>
      <c r="J6" s="87">
        <f>'Facility Master'!Y13</f>
        <v>47142</v>
      </c>
      <c r="K6" s="77">
        <f>IFERROR(E6/'Facility Master'!V13,0)</f>
        <v>16.666666666666668</v>
      </c>
      <c r="L6" s="84" t="str">
        <f>'Facility Master'!O13</f>
        <v>1Y MCLR (RBL Bank)</v>
      </c>
      <c r="M6" s="85">
        <f>'Facility Master'!P13</f>
        <v>7.4999999999999997E-3</v>
      </c>
      <c r="N6" s="85">
        <f>'Facility Master'!Q13</f>
        <v>9.7500000000000003E-2</v>
      </c>
      <c r="O6" s="80">
        <f>COUNTIFS('Repayment Schedule'!C10:C62,"&gt;"&amp;AsOfDate,'Repayment Schedule'!G10:G62,"&gt;0")</f>
        <v>11</v>
      </c>
      <c r="P6" s="77">
        <f>TL_9_PRINC_REPAID_TO_DATE</f>
        <v>16.666666666666668</v>
      </c>
      <c r="Q6" s="77">
        <f>TL_9_PRINC_OUTSTD</f>
        <v>183.33333333333334</v>
      </c>
      <c r="R6" s="33" t="s">
        <v>312</v>
      </c>
      <c r="S6" s="13" t="s">
        <v>490</v>
      </c>
    </row>
    <row r="7" spans="2:19" ht="36" customHeight="1" x14ac:dyDescent="0.3">
      <c r="B7" s="55">
        <v>2</v>
      </c>
      <c r="C7" s="83" t="str">
        <f>'Facility Master'!C25</f>
        <v>YES Bank</v>
      </c>
      <c r="D7" s="84" t="str">
        <f>'Facility Master'!D25</f>
        <v>Term Loan (Refinance Canara)</v>
      </c>
      <c r="E7" s="76">
        <f>'Facility Master'!J25</f>
        <v>320.7</v>
      </c>
      <c r="F7" s="76">
        <f>'Facility Master'!L25</f>
        <v>320.7</v>
      </c>
      <c r="G7" s="87">
        <f>'Facility Master'!W25</f>
        <v>45642</v>
      </c>
      <c r="H7" s="86">
        <f>'Facility Master'!S25</f>
        <v>0</v>
      </c>
      <c r="I7" s="87">
        <f>'Facility Master'!X25</f>
        <v>45747</v>
      </c>
      <c r="J7" s="87">
        <f>'Facility Master'!Y25</f>
        <v>49948</v>
      </c>
      <c r="K7" s="77">
        <f>IFERROR(E7/'Facility Master'!V25,0)</f>
        <v>6.823404255319149</v>
      </c>
      <c r="L7" s="84" t="str">
        <f>'Facility Master'!O25</f>
        <v>3M T-Bill</v>
      </c>
      <c r="M7" s="85">
        <f>'Facility Master'!P25</f>
        <v>2.52E-2</v>
      </c>
      <c r="N7" s="85">
        <f>'Facility Master'!Q25</f>
        <v>7.6999999999999999E-2</v>
      </c>
      <c r="O7" s="80">
        <f>COUNTIFS('Repayment Schedule'!C72:C124,"&gt;"&amp;AsOfDate,'Repayment Schedule'!G72:G124,"&gt;0")</f>
        <v>42</v>
      </c>
      <c r="P7" s="77">
        <f>TL_21_PRINC_REPAID_TO_DATE</f>
        <v>34.117021276595743</v>
      </c>
      <c r="Q7" s="77">
        <f>TL_21_PRINC_OUTSTD</f>
        <v>286.58297872340427</v>
      </c>
      <c r="R7" s="33" t="s">
        <v>367</v>
      </c>
      <c r="S7" s="13" t="s">
        <v>491</v>
      </c>
    </row>
    <row r="8" spans="2:19" ht="36" customHeight="1" x14ac:dyDescent="0.3">
      <c r="B8" s="40">
        <v>3</v>
      </c>
      <c r="C8" s="83" t="str">
        <f>'Facility Master'!C26</f>
        <v>Bajaj Finance</v>
      </c>
      <c r="D8" s="84" t="str">
        <f>'Facility Master'!D26</f>
        <v>Term Loan</v>
      </c>
      <c r="E8" s="76">
        <f>'Facility Master'!J26</f>
        <v>150</v>
      </c>
      <c r="F8" s="76">
        <f>'Facility Master'!L26</f>
        <v>150</v>
      </c>
      <c r="G8" s="87">
        <f>'Facility Master'!W26</f>
        <v>45887</v>
      </c>
      <c r="H8" s="86">
        <f>'Facility Master'!S26</f>
        <v>12</v>
      </c>
      <c r="I8" s="87">
        <f>'Facility Master'!X26</f>
        <v>46252</v>
      </c>
      <c r="J8" s="87">
        <f>'Facility Master'!Y26</f>
        <v>48809</v>
      </c>
      <c r="K8" s="77">
        <f>IFERROR(E8/'Facility Master'!V26,0)</f>
        <v>5.3571428571428568</v>
      </c>
      <c r="L8" s="84" t="str">
        <f>'Facility Master'!O26</f>
        <v>Bajaj Floating Reference Rate (BFRR)</v>
      </c>
      <c r="M8" s="85">
        <f>'Facility Master'!P26</f>
        <v>1E-3</v>
      </c>
      <c r="N8" s="85">
        <f>'Facility Master'!Q26</f>
        <v>8.6000000000000007E-2</v>
      </c>
      <c r="O8" s="80">
        <f>COUNTIFS('Repayment Schedule'!C134:C186,"&gt;"&amp;AsOfDate,'Repayment Schedule'!G134:G186,"&gt;0")</f>
        <v>28</v>
      </c>
      <c r="P8" s="77">
        <f>TL_22_PRINC_REPAID_TO_DATE</f>
        <v>0</v>
      </c>
      <c r="Q8" s="77">
        <f>TL_22_PRINC_OUTSTD</f>
        <v>150</v>
      </c>
      <c r="R8" s="33" t="s">
        <v>373</v>
      </c>
      <c r="S8" s="13" t="s">
        <v>492</v>
      </c>
    </row>
    <row r="9" spans="2:19" ht="15" customHeight="1" x14ac:dyDescent="0.3">
      <c r="B9" s="304" t="s">
        <v>439</v>
      </c>
      <c r="C9" s="304"/>
      <c r="D9" s="304"/>
      <c r="E9" s="72">
        <f>SUM(E6:E8)</f>
        <v>670.7</v>
      </c>
      <c r="F9" s="72">
        <f>SUM(F6:F8)</f>
        <v>670.7</v>
      </c>
      <c r="G9" s="71"/>
      <c r="H9" s="71"/>
      <c r="I9" s="71"/>
      <c r="J9" s="71"/>
      <c r="K9" s="72">
        <f>SUM(K6:K8)</f>
        <v>28.847213779128676</v>
      </c>
      <c r="L9" s="71"/>
      <c r="M9" s="71"/>
      <c r="N9" s="71"/>
      <c r="O9" s="71"/>
      <c r="P9" s="72">
        <f>SUM(P6:P8)</f>
        <v>50.783687943262407</v>
      </c>
      <c r="Q9" s="72">
        <f>SUM(Q6:Q8)</f>
        <v>619.91631205673764</v>
      </c>
      <c r="R9" s="71"/>
      <c r="S9" s="71"/>
    </row>
  </sheetData>
  <mergeCells count="3">
    <mergeCell ref="B2:S2"/>
    <mergeCell ref="B3:S3"/>
    <mergeCell ref="B9:D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B9BD5"/>
  </sheetPr>
  <dimension ref="B2:O23"/>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8.6640625" defaultRowHeight="14.4" x14ac:dyDescent="0.3"/>
  <cols>
    <col min="1" max="1" width="3" customWidth="1"/>
    <col min="2" max="2" width="4" customWidth="1"/>
    <col min="3" max="3" width="16" customWidth="1"/>
    <col min="4" max="4" width="30" customWidth="1"/>
    <col min="5" max="5" width="18" customWidth="1"/>
    <col min="6" max="8" width="12" customWidth="1"/>
    <col min="9" max="9" width="11" customWidth="1"/>
    <col min="10" max="10" width="14" customWidth="1"/>
    <col min="11" max="11" width="11" customWidth="1"/>
    <col min="12" max="12" width="14" customWidth="1"/>
    <col min="13" max="13" width="16" customWidth="1"/>
    <col min="14" max="14" width="30" customWidth="1"/>
    <col min="15" max="15" width="28" customWidth="1"/>
  </cols>
  <sheetData>
    <row r="2" spans="2:15" ht="36" customHeight="1" x14ac:dyDescent="0.3">
      <c r="B2" s="300" t="s">
        <v>493</v>
      </c>
      <c r="C2" s="300"/>
      <c r="D2" s="300"/>
      <c r="E2" s="300"/>
      <c r="F2" s="300"/>
      <c r="G2" s="300"/>
      <c r="H2" s="300"/>
      <c r="I2" s="300"/>
      <c r="J2" s="300"/>
      <c r="K2" s="300"/>
      <c r="L2" s="300"/>
      <c r="M2" s="300"/>
      <c r="N2" s="300"/>
      <c r="O2" s="300"/>
    </row>
    <row r="3" spans="2:15" ht="27.75" customHeight="1" x14ac:dyDescent="0.3">
      <c r="B3" s="311" t="s">
        <v>494</v>
      </c>
      <c r="C3" s="311"/>
      <c r="D3" s="311"/>
      <c r="E3" s="311"/>
      <c r="F3" s="311"/>
      <c r="G3" s="311"/>
      <c r="H3" s="311"/>
      <c r="I3" s="311"/>
      <c r="J3" s="311"/>
      <c r="K3" s="311"/>
      <c r="L3" s="311"/>
      <c r="M3" s="311"/>
      <c r="N3" s="311"/>
      <c r="O3" s="311"/>
    </row>
    <row r="4" spans="2:15" s="126" customFormat="1" ht="7.95" customHeight="1" x14ac:dyDescent="0.3"/>
    <row r="5" spans="2:15" ht="39.75" customHeight="1" x14ac:dyDescent="0.3">
      <c r="B5" s="9" t="s">
        <v>422</v>
      </c>
      <c r="C5" s="9" t="s">
        <v>217</v>
      </c>
      <c r="D5" s="9" t="s">
        <v>218</v>
      </c>
      <c r="E5" s="9" t="s">
        <v>236</v>
      </c>
      <c r="F5" s="9" t="s">
        <v>471</v>
      </c>
      <c r="G5" s="9" t="s">
        <v>495</v>
      </c>
      <c r="H5" s="9" t="s">
        <v>473</v>
      </c>
      <c r="I5" s="9" t="s">
        <v>242</v>
      </c>
      <c r="J5" s="9" t="s">
        <v>496</v>
      </c>
      <c r="K5" s="9" t="s">
        <v>249</v>
      </c>
      <c r="L5" s="9" t="s">
        <v>255</v>
      </c>
      <c r="M5" s="9" t="s">
        <v>497</v>
      </c>
      <c r="N5" s="9" t="s">
        <v>475</v>
      </c>
      <c r="O5" s="9" t="s">
        <v>259</v>
      </c>
    </row>
    <row r="6" spans="2:15" ht="33.75" customHeight="1" x14ac:dyDescent="0.3">
      <c r="B6" s="40">
        <v>1</v>
      </c>
      <c r="C6" s="83" t="str">
        <f>'Facility Master'!C5</f>
        <v>RBL Bank</v>
      </c>
      <c r="D6" s="84" t="str">
        <f>'Facility Master'!D5</f>
        <v>Letter of Credit - Main Limit</v>
      </c>
      <c r="E6" s="84" t="str">
        <f>'Facility Master'!G5</f>
        <v>Main</v>
      </c>
      <c r="F6" s="76">
        <f>'Facility Master'!J5</f>
        <v>100</v>
      </c>
      <c r="G6" s="76">
        <f>'Facility Master'!L5</f>
        <v>100</v>
      </c>
      <c r="H6" s="76">
        <f>'Facility Master'!N5</f>
        <v>0</v>
      </c>
      <c r="I6" s="85">
        <f>'Facility Master'!M5</f>
        <v>1</v>
      </c>
      <c r="J6" s="85">
        <f>'Facility Master'!Q5</f>
        <v>4.4999999999999997E-3</v>
      </c>
      <c r="K6" s="86">
        <f>IFERROR('Facility Master'!U5,0)</f>
        <v>6</v>
      </c>
      <c r="L6" s="87">
        <f>IFERROR('Facility Master'!AA5,0)</f>
        <v>46356</v>
      </c>
      <c r="M6" s="77">
        <f t="shared" ref="M6:M22" si="0">IFERROR(F6*J6,0)</f>
        <v>0.44999999999999996</v>
      </c>
      <c r="N6" s="84" t="str">
        <f>IFERROR('Facility Master'!AC5,0)</f>
        <v>1st p-p on current assets; 2nd p-p on FA; Personal guarantee</v>
      </c>
      <c r="O6" s="84" t="str">
        <f>IFERROR('Facility Master'!AE5,0)</f>
        <v>Pricing revised from 0.50% to 0.45% on 31-Dec-2025. | Validity rolled +1 year (orig: 2025-11-30) per Assumption #12: annual-renewal WC facilities presumed operationally renewed. Confirm with relationship manager.</v>
      </c>
    </row>
    <row r="7" spans="2:15" ht="33.75" customHeight="1" x14ac:dyDescent="0.3">
      <c r="B7" s="55">
        <v>2</v>
      </c>
      <c r="C7" s="83" t="str">
        <f>'Facility Master'!C6</f>
        <v>RBL Bank</v>
      </c>
      <c r="D7" s="84" t="str">
        <f>'Facility Master'!D6</f>
        <v>Bank Guarantee</v>
      </c>
      <c r="E7" s="84" t="str">
        <f>'Facility Master'!G6</f>
        <v>Sub-limit of LC (Main)</v>
      </c>
      <c r="F7" s="76">
        <f>'Facility Master'!J6</f>
        <v>25</v>
      </c>
      <c r="G7" s="76">
        <f>'Facility Master'!L6</f>
        <v>25</v>
      </c>
      <c r="H7" s="76">
        <f>'Facility Master'!N6</f>
        <v>0</v>
      </c>
      <c r="I7" s="85">
        <f>'Facility Master'!M6</f>
        <v>1</v>
      </c>
      <c r="J7" s="85">
        <f>'Facility Master'!Q6</f>
        <v>5.0000000000000001E-3</v>
      </c>
      <c r="K7" s="86">
        <f>IFERROR('Facility Master'!U6,0)</f>
        <v>12</v>
      </c>
      <c r="L7" s="87">
        <f>IFERROR('Facility Master'!AA6,0)</f>
        <v>46356</v>
      </c>
      <c r="M7" s="77">
        <f t="shared" si="0"/>
        <v>0.125</v>
      </c>
      <c r="N7" s="84" t="str">
        <f>IFERROR('Facility Master'!AC6,0)</f>
        <v>1st p-p on current assets; 2nd p-p on FA; Personal guarantee</v>
      </c>
      <c r="O7" s="84" t="str">
        <f>IFERROR('Facility Master'!AE6,0)</f>
        <v>Pricing per 28-Feb-2025 table; BG not re-priced on 31-Dec-2025. | Validity rolled +1 year (orig: 2025-11-30) per Assumption #12: annual-renewal WC facilities presumed operationally renewed. Confirm with relationship manager. | ⚠ COMMISSION RATE TBD: Original RBL sanction (25-Nov-2022) specifies 1.00% p.a. for BGs. 31-Dec-2025 renewal does not explicitly revise BG rate downward. 0.50% is inferred from the 28-Feb-2025 pricing table but NOT confirmed in writing by RBL for the renewed sanction. Confirm 0.50% with RBL RM before finalising lender reporting / commission accrual.</v>
      </c>
    </row>
    <row r="8" spans="2:15" ht="33.75" customHeight="1" x14ac:dyDescent="0.3">
      <c r="B8" s="40">
        <v>3</v>
      </c>
      <c r="C8" s="83" t="str">
        <f>'Facility Master'!C8</f>
        <v>RBL Bank</v>
      </c>
      <c r="D8" s="84" t="str">
        <f>'Facility Master'!D8</f>
        <v>SBLC</v>
      </c>
      <c r="E8" s="84" t="str">
        <f>'Facility Master'!G8</f>
        <v>Sub-limit of LC (Main)</v>
      </c>
      <c r="F8" s="76">
        <f>'Facility Master'!J8</f>
        <v>100</v>
      </c>
      <c r="G8" s="76">
        <f>'Facility Master'!L8</f>
        <v>100</v>
      </c>
      <c r="H8" s="76">
        <f>'Facility Master'!N8</f>
        <v>0</v>
      </c>
      <c r="I8" s="85">
        <f>'Facility Master'!M8</f>
        <v>1</v>
      </c>
      <c r="J8" s="85">
        <f>'Facility Master'!Q8</f>
        <v>5.0000000000000001E-3</v>
      </c>
      <c r="K8" s="86">
        <f>IFERROR('Facility Master'!U8,0)</f>
        <v>6</v>
      </c>
      <c r="L8" s="87">
        <f>IFERROR('Facility Master'!AA8,0)</f>
        <v>46356</v>
      </c>
      <c r="M8" s="77">
        <f t="shared" si="0"/>
        <v>0.5</v>
      </c>
      <c r="N8" s="84" t="str">
        <f>IFERROR('Facility Master'!AC8,0)</f>
        <v>Same as LC</v>
      </c>
      <c r="O8" s="84" t="str">
        <f>IFERROR('Facility Master'!AE8,0)</f>
        <v>SBLC sub-limit introduced via 13-Mar-2025 modification. | Validity rolled +1 year (orig: 2025-11-30) per Assumption #12: annual-renewal WC facilities presumed operationally renewed. Confirm with relationship manager. | Commission 0.50% per 28-Feb-2025 pricing, unchanged in 31-Dec-2025 renewal ('all other terms continue'). Earlier 13-Mar-2025 modification said 'TBD at transaction' for this sub-limit but was overridden by 31-Dec-2025 renewal.</v>
      </c>
    </row>
    <row r="9" spans="2:15" ht="33.75" customHeight="1" x14ac:dyDescent="0.3">
      <c r="B9" s="55">
        <v>4</v>
      </c>
      <c r="C9" s="83" t="str">
        <f>'Facility Master'!C12</f>
        <v>RBL Bank</v>
      </c>
      <c r="D9" s="84" t="str">
        <f>'Facility Master'!D12</f>
        <v>Loan Equivalent Risk (LER)</v>
      </c>
      <c r="E9" s="84" t="str">
        <f>'Facility Master'!G12</f>
        <v>Main</v>
      </c>
      <c r="F9" s="76">
        <f>'Facility Master'!J12</f>
        <v>20</v>
      </c>
      <c r="G9" s="76">
        <f>'Facility Master'!L12</f>
        <v>20</v>
      </c>
      <c r="H9" s="76">
        <f>'Facility Master'!N12</f>
        <v>0</v>
      </c>
      <c r="I9" s="85">
        <f>'Facility Master'!M12</f>
        <v>1</v>
      </c>
      <c r="J9" s="85">
        <f>'Facility Master'!Q12</f>
        <v>0</v>
      </c>
      <c r="K9" s="86">
        <f>IFERROR('Facility Master'!U12,0)</f>
        <v>12</v>
      </c>
      <c r="L9" s="87">
        <f>IFERROR('Facility Master'!AA12,0)</f>
        <v>46356</v>
      </c>
      <c r="M9" s="77">
        <f t="shared" si="0"/>
        <v>0</v>
      </c>
      <c r="N9" s="84" t="str">
        <f>IFERROR('Facility Master'!AC12,0)</f>
        <v>Unsecured</v>
      </c>
      <c r="O9" s="84" t="str">
        <f>IFERROR('Facility Master'!AE12,0)</f>
        <v>Notional limit; 75% MTM trigger. | Validity rolled +1 year (orig: 2025-11-30) per Assumption #12: annual-renewal WC facilities presumed operationally renewed. Confirm with relationship manager.</v>
      </c>
    </row>
    <row r="10" spans="2:15" ht="33.75" customHeight="1" x14ac:dyDescent="0.3">
      <c r="B10" s="40">
        <v>5</v>
      </c>
      <c r="C10" s="83" t="str">
        <f>'Facility Master'!C14</f>
        <v>RBL Bank</v>
      </c>
      <c r="D10" s="84" t="str">
        <f>'Facility Master'!D14</f>
        <v>SBLC for Buyer's Credit (GIFT City)</v>
      </c>
      <c r="E10" s="84" t="str">
        <f>'Facility Master'!G14</f>
        <v>Main</v>
      </c>
      <c r="F10" s="76">
        <f>'Facility Master'!J14</f>
        <v>190</v>
      </c>
      <c r="G10" s="76">
        <f>'Facility Master'!L14</f>
        <v>190</v>
      </c>
      <c r="H10" s="76">
        <f>'Facility Master'!N14</f>
        <v>0</v>
      </c>
      <c r="I10" s="85">
        <f>'Facility Master'!M14</f>
        <v>1</v>
      </c>
      <c r="J10" s="85">
        <f>'Facility Master'!Q14</f>
        <v>5.0000000000000001E-3</v>
      </c>
      <c r="K10" s="86">
        <f>IFERROR('Facility Master'!U14,0)</f>
        <v>36</v>
      </c>
      <c r="L10" s="87">
        <f>IFERROR('Facility Master'!AA14,0)</f>
        <v>46356</v>
      </c>
      <c r="M10" s="77">
        <f t="shared" si="0"/>
        <v>0.95000000000000007</v>
      </c>
      <c r="N10" s="84" t="str">
        <f>IFERROR('Facility Master'!AC14,0)</f>
        <v>1st p-p on FA; 1st p-p mortgage on immovable; 2nd p-p on CA</v>
      </c>
      <c r="O10" s="84" t="str">
        <f>IFERROR('Facility Master'!AE14,0)</f>
        <v>Limit increased 172 -&gt; 190 Cr on 31-Dec-2025. | Validity rolled +1 year (orig: 2025-11-30) per Assumption #12: annual-renewal WC facilities presumed operationally renewed. Confirm with relationship manager.</v>
      </c>
    </row>
    <row r="11" spans="2:15" ht="33.75" customHeight="1" x14ac:dyDescent="0.3">
      <c r="B11" s="55">
        <v>6</v>
      </c>
      <c r="C11" s="83" t="str">
        <f>'Facility Master'!C15</f>
        <v>RBL Bank</v>
      </c>
      <c r="D11" s="84" t="str">
        <f>'Facility Master'!D15</f>
        <v>Capex LC</v>
      </c>
      <c r="E11" s="84" t="str">
        <f>'Facility Master'!G15</f>
        <v>Main</v>
      </c>
      <c r="F11" s="76">
        <f>'Facility Master'!J15</f>
        <v>25</v>
      </c>
      <c r="G11" s="76">
        <f>'Facility Master'!L15</f>
        <v>25</v>
      </c>
      <c r="H11" s="76">
        <f>'Facility Master'!N15</f>
        <v>0</v>
      </c>
      <c r="I11" s="85">
        <f>'Facility Master'!M15</f>
        <v>1</v>
      </c>
      <c r="J11" s="85">
        <f>'Facility Master'!Q15</f>
        <v>5.0000000000000001E-3</v>
      </c>
      <c r="K11" s="86">
        <f>IFERROR('Facility Master'!U15,0)</f>
        <v>36</v>
      </c>
      <c r="L11" s="87">
        <f>IFERROR('Facility Master'!AA15,0)</f>
        <v>46356</v>
      </c>
      <c r="M11" s="77">
        <f t="shared" si="0"/>
        <v>0.125</v>
      </c>
      <c r="N11" s="84" t="str">
        <f>IFERROR('Facility Master'!AC15,0)</f>
        <v>1st p-p on FA; 1st p-p mortgage on immovable; 2nd p-p on CA</v>
      </c>
      <c r="O11" s="84" t="str">
        <f>IFERROR('Facility Master'!AE15,0)</f>
        <v>Originally 24-Jan-2024; converted revolving 28-Feb-2025. | Validity rolled +1 year (orig: 2025-11-30) per Assumption #12: annual-renewal WC facilities presumed operationally renewed. Confirm with relationship manager. | Commission TBD at disbursement per sanction letter. FD-backed LC typically carries nil-to-very-low commission (lender's own-FD collateral). Model shows 0.</v>
      </c>
    </row>
    <row r="12" spans="2:15" ht="33.75" customHeight="1" x14ac:dyDescent="0.3">
      <c r="B12" s="40">
        <v>7</v>
      </c>
      <c r="C12" s="83" t="str">
        <f>'Facility Master'!C17</f>
        <v>RBL Bank</v>
      </c>
      <c r="D12" s="84" t="str">
        <f>'Facility Master'!D17</f>
        <v>LC backed by 100% FD</v>
      </c>
      <c r="E12" s="84" t="str">
        <f>'Facility Master'!G17</f>
        <v>Sub-limit of FDOD</v>
      </c>
      <c r="F12" s="76">
        <f>'Facility Master'!J17</f>
        <v>50</v>
      </c>
      <c r="G12" s="76">
        <f>'Facility Master'!L17</f>
        <v>50</v>
      </c>
      <c r="H12" s="76">
        <f>'Facility Master'!N17</f>
        <v>0</v>
      </c>
      <c r="I12" s="85">
        <f>'Facility Master'!M17</f>
        <v>1</v>
      </c>
      <c r="J12" s="85">
        <f>'Facility Master'!Q17</f>
        <v>0</v>
      </c>
      <c r="K12" s="86">
        <f>IFERROR('Facility Master'!U17,0)</f>
        <v>12</v>
      </c>
      <c r="L12" s="87">
        <f>IFERROR('Facility Master'!AA17,0)</f>
        <v>46356</v>
      </c>
      <c r="M12" s="77">
        <f t="shared" si="0"/>
        <v>0</v>
      </c>
      <c r="N12" s="84" t="str">
        <f>IFERROR('Facility Master'!AC17,0)</f>
        <v>Exclusive charge on FD = 100% of facility</v>
      </c>
      <c r="O12" s="84" t="str">
        <f>IFERROR('Facility Master'!AE17,0)</f>
        <v>Rate not specified in sanction letter. | Validity rolled +1 year (orig: 2025-11-30) per Assumption #12: annual-renewal WC facilities presumed operationally renewed. Confirm with relationship manager.</v>
      </c>
    </row>
    <row r="13" spans="2:15" ht="33.75" customHeight="1" x14ac:dyDescent="0.3">
      <c r="B13" s="55">
        <v>8</v>
      </c>
      <c r="C13" s="83" t="str">
        <f>'Facility Master'!C22</f>
        <v>YES Bank</v>
      </c>
      <c r="D13" s="84" t="str">
        <f>'Facility Master'!D22</f>
        <v>Letter of Credit</v>
      </c>
      <c r="E13" s="84" t="str">
        <f>'Facility Master'!G22</f>
        <v>Main</v>
      </c>
      <c r="F13" s="76">
        <f>'Facility Master'!J22</f>
        <v>200</v>
      </c>
      <c r="G13" s="76">
        <f>'Facility Master'!L22</f>
        <v>200</v>
      </c>
      <c r="H13" s="76">
        <f>'Facility Master'!N22</f>
        <v>0</v>
      </c>
      <c r="I13" s="85">
        <f>'Facility Master'!M22</f>
        <v>1</v>
      </c>
      <c r="J13" s="85">
        <f>'Facility Master'!Q22</f>
        <v>0</v>
      </c>
      <c r="K13" s="86">
        <f>IFERROR('Facility Master'!U22,0)</f>
        <v>7</v>
      </c>
      <c r="L13" s="87">
        <f>IFERROR('Facility Master'!AA22,0)</f>
        <v>46472</v>
      </c>
      <c r="M13" s="77">
        <f t="shared" si="0"/>
        <v>0</v>
      </c>
      <c r="N13" s="84" t="str">
        <f>IFERROR('Facility Master'!AC22,0)</f>
        <v>1st p-p on CA; mortgage on Faridabad property; 2nd p-p on FA; PG</v>
      </c>
      <c r="O13" s="84" t="str">
        <f>IFERROR('Facility Master'!AE22,0)</f>
        <v>Overall WC cap INR 200 Cr net of receivable finance (INR 1 Cr). | Validity rolled +1 year (orig: 2026-03-26) per Assumption #12: annual-renewal WC facilities presumed operationally renewed. Confirm with relationship manager.</v>
      </c>
    </row>
    <row r="14" spans="2:15" ht="33.75" customHeight="1" x14ac:dyDescent="0.3">
      <c r="B14" s="40">
        <v>9</v>
      </c>
      <c r="C14" s="83" t="str">
        <f>'Facility Master'!C23</f>
        <v>YES Bank</v>
      </c>
      <c r="D14" s="84" t="str">
        <f>'Facility Master'!D23</f>
        <v>Financial BG / SBLC</v>
      </c>
      <c r="E14" s="84" t="str">
        <f>'Facility Master'!G23</f>
        <v>Sub-limit of LC (Main)</v>
      </c>
      <c r="F14" s="76">
        <f>'Facility Master'!J23</f>
        <v>200</v>
      </c>
      <c r="G14" s="76">
        <f>'Facility Master'!L23</f>
        <v>200</v>
      </c>
      <c r="H14" s="76">
        <f>'Facility Master'!N23</f>
        <v>0</v>
      </c>
      <c r="I14" s="85">
        <f>'Facility Master'!M23</f>
        <v>1</v>
      </c>
      <c r="J14" s="85">
        <f>'Facility Master'!Q23</f>
        <v>5.0000000000000001E-3</v>
      </c>
      <c r="K14" s="86">
        <f>IFERROR('Facility Master'!U23,0)</f>
        <v>6</v>
      </c>
      <c r="L14" s="87" t="str">
        <f>IFERROR('Facility Master'!AA23,0)</f>
        <v>Per renewal cycle</v>
      </c>
      <c r="M14" s="77">
        <f t="shared" si="0"/>
        <v>1</v>
      </c>
      <c r="N14" s="84" t="str">
        <f>IFERROR('Facility Master'!AC23,0)</f>
        <v>1st p-p on CA; mortgage on Faridabad property; 2nd p-p on FA; PG</v>
      </c>
      <c r="O14" s="84" t="str">
        <f>IFERROR('Facility Master'!AE23,0)</f>
        <v>Commission cut 25 bps on 19-Mar-2026.</v>
      </c>
    </row>
    <row r="15" spans="2:15" ht="33.75" customHeight="1" x14ac:dyDescent="0.3">
      <c r="B15" s="55">
        <v>10</v>
      </c>
      <c r="C15" s="83" t="str">
        <f>'Facility Master'!C29</f>
        <v>ICICI Bank</v>
      </c>
      <c r="D15" s="84" t="str">
        <f>'Facility Master'!D29</f>
        <v>Letter of Credit (Inland/Foreign)</v>
      </c>
      <c r="E15" s="84" t="str">
        <f>'Facility Master'!G29</f>
        <v>Main</v>
      </c>
      <c r="F15" s="76">
        <f>'Facility Master'!J29</f>
        <v>150</v>
      </c>
      <c r="G15" s="76">
        <f>'Facility Master'!L29</f>
        <v>150</v>
      </c>
      <c r="H15" s="76">
        <f>'Facility Master'!N29</f>
        <v>0</v>
      </c>
      <c r="I15" s="85">
        <f>'Facility Master'!M29</f>
        <v>1</v>
      </c>
      <c r="J15" s="85">
        <f>'Facility Master'!Q29</f>
        <v>5.0000000000000001E-3</v>
      </c>
      <c r="K15" s="86">
        <f>IFERROR('Facility Master'!U29,0)</f>
        <v>5</v>
      </c>
      <c r="L15" s="87">
        <f>IFERROR('Facility Master'!AA29,0)</f>
        <v>46268</v>
      </c>
      <c r="M15" s="77">
        <f t="shared" si="0"/>
        <v>0.75</v>
      </c>
      <c r="N15" s="84" t="str">
        <f>IFERROR('Facility Master'!AC29,0)</f>
        <v>1st p-p on CA; 2nd p-p on FA; 2nd p-p mortgage Kalinga Nagar</v>
      </c>
      <c r="O15" s="84" t="str">
        <f>IFERROR('Facility Master'!AE29,0)</f>
        <v>LC to JSL Global Commodities Pte Ltd capped at INR 25 Cr.</v>
      </c>
    </row>
    <row r="16" spans="2:15" ht="33.75" customHeight="1" x14ac:dyDescent="0.3">
      <c r="B16" s="40">
        <v>11</v>
      </c>
      <c r="C16" s="83" t="str">
        <f>'Facility Master'!C30</f>
        <v>ICICI Bank</v>
      </c>
      <c r="D16" s="84" t="str">
        <f>'Facility Master'!D30</f>
        <v>SBLC for Buyers' Credit</v>
      </c>
      <c r="E16" s="84" t="str">
        <f>'Facility Master'!G30</f>
        <v>Sub-limit of LC</v>
      </c>
      <c r="F16" s="76">
        <f>'Facility Master'!J30</f>
        <v>150</v>
      </c>
      <c r="G16" s="76">
        <f>'Facility Master'!L30</f>
        <v>150</v>
      </c>
      <c r="H16" s="76">
        <f>'Facility Master'!N30</f>
        <v>0</v>
      </c>
      <c r="I16" s="85">
        <f>'Facility Master'!M30</f>
        <v>1</v>
      </c>
      <c r="J16" s="85">
        <f>'Facility Master'!Q30</f>
        <v>5.0000000000000001E-3</v>
      </c>
      <c r="K16" s="86">
        <f>IFERROR('Facility Master'!U30,0)</f>
        <v>5</v>
      </c>
      <c r="L16" s="87">
        <f>IFERROR('Facility Master'!AA30,0)</f>
        <v>46268</v>
      </c>
      <c r="M16" s="77">
        <f t="shared" si="0"/>
        <v>0.75</v>
      </c>
      <c r="N16" s="84" t="str">
        <f>IFERROR('Facility Master'!AC30,0)</f>
        <v>1st p-p on CA; 2nd p-p on FA; 2nd p-p mortgage Kalinga Nagar</v>
      </c>
      <c r="O16" s="84" t="str">
        <f>IFERROR('Facility Master'!AE30,0)</f>
        <v>Excluded from DP; no rollover beyond RBI guidelines.</v>
      </c>
    </row>
    <row r="17" spans="2:15" ht="33.75" customHeight="1" x14ac:dyDescent="0.3">
      <c r="B17" s="55">
        <v>12</v>
      </c>
      <c r="C17" s="83" t="str">
        <f>'Facility Master'!C31</f>
        <v>ICICI Bank</v>
      </c>
      <c r="D17" s="84" t="str">
        <f>'Facility Master'!D31</f>
        <v>Bank Guarantee - Performance</v>
      </c>
      <c r="E17" s="84" t="str">
        <f>'Facility Master'!G31</f>
        <v>Sub-limit of LC</v>
      </c>
      <c r="F17" s="76">
        <f>'Facility Master'!J31</f>
        <v>25</v>
      </c>
      <c r="G17" s="76">
        <f>'Facility Master'!L31</f>
        <v>25</v>
      </c>
      <c r="H17" s="76">
        <f>'Facility Master'!N31</f>
        <v>0</v>
      </c>
      <c r="I17" s="85">
        <f>'Facility Master'!M31</f>
        <v>1</v>
      </c>
      <c r="J17" s="85">
        <f>'Facility Master'!Q31</f>
        <v>5.0000000000000001E-3</v>
      </c>
      <c r="K17" s="86">
        <f>IFERROR('Facility Master'!U31,0)</f>
        <v>36</v>
      </c>
      <c r="L17" s="87">
        <f>IFERROR('Facility Master'!AA31,0)</f>
        <v>46268</v>
      </c>
      <c r="M17" s="77">
        <f t="shared" si="0"/>
        <v>0.125</v>
      </c>
      <c r="N17" s="84" t="str">
        <f>IFERROR('Facility Master'!AC31,0)</f>
        <v>1st p-p on CA; 2nd p-p on FA; 2nd p-p mortgage Kalinga Nagar</v>
      </c>
      <c r="O17" s="84" t="str">
        <f>IFERROR('Facility Master'!AE31,0)</f>
        <v>SWIFT INR 1,000/BG; min commission INR 500/BG.</v>
      </c>
    </row>
    <row r="18" spans="2:15" ht="33.75" customHeight="1" x14ac:dyDescent="0.3">
      <c r="B18" s="40">
        <v>13</v>
      </c>
      <c r="C18" s="83" t="str">
        <f>'Facility Master'!C32</f>
        <v>ICICI Bank</v>
      </c>
      <c r="D18" s="84" t="str">
        <f>'Facility Master'!D32</f>
        <v>Bank Guarantee - Financial</v>
      </c>
      <c r="E18" s="84" t="str">
        <f>'Facility Master'!G32</f>
        <v>Sub-limit of LC</v>
      </c>
      <c r="F18" s="76">
        <f>'Facility Master'!J32</f>
        <v>5</v>
      </c>
      <c r="G18" s="76">
        <f>'Facility Master'!L32</f>
        <v>5</v>
      </c>
      <c r="H18" s="76">
        <f>'Facility Master'!N32</f>
        <v>0</v>
      </c>
      <c r="I18" s="85">
        <f>'Facility Master'!M32</f>
        <v>1</v>
      </c>
      <c r="J18" s="85">
        <f>'Facility Master'!Q32</f>
        <v>6.0000000000000001E-3</v>
      </c>
      <c r="K18" s="86">
        <f>IFERROR('Facility Master'!U32,0)</f>
        <v>36</v>
      </c>
      <c r="L18" s="87">
        <f>IFERROR('Facility Master'!AA32,0)</f>
        <v>46268</v>
      </c>
      <c r="M18" s="77">
        <f t="shared" si="0"/>
        <v>0.03</v>
      </c>
      <c r="N18" s="84" t="str">
        <f>IFERROR('Facility Master'!AC32,0)</f>
        <v>1st p-p on CA; 2nd p-p on FA; 2nd p-p mortgage Kalinga Nagar</v>
      </c>
      <c r="O18" s="84" t="str">
        <f>IFERROR('Facility Master'!AE32,0)</f>
        <v>INR 50 mn per sanction letter.</v>
      </c>
    </row>
    <row r="19" spans="2:15" ht="33.75" customHeight="1" x14ac:dyDescent="0.3">
      <c r="B19" s="55">
        <v>14</v>
      </c>
      <c r="C19" s="83" t="str">
        <f>'Facility Master'!C35</f>
        <v>South Indian Bank</v>
      </c>
      <c r="D19" s="84" t="str">
        <f>'Facility Master'!D35</f>
        <v>Inland / Import LC</v>
      </c>
      <c r="E19" s="84" t="str">
        <f>'Facility Master'!G35</f>
        <v>Main</v>
      </c>
      <c r="F19" s="76">
        <f>'Facility Master'!J35</f>
        <v>150</v>
      </c>
      <c r="G19" s="76">
        <f>'Facility Master'!L35</f>
        <v>150</v>
      </c>
      <c r="H19" s="76">
        <f>'Facility Master'!N35</f>
        <v>0</v>
      </c>
      <c r="I19" s="85">
        <f>'Facility Master'!M35</f>
        <v>1</v>
      </c>
      <c r="J19" s="85">
        <f>'Facility Master'!Q35</f>
        <v>6.4999999999999997E-3</v>
      </c>
      <c r="K19" s="86">
        <f>IFERROR('Facility Master'!U35,0)</f>
        <v>6</v>
      </c>
      <c r="L19" s="87" t="str">
        <f>IFERROR('Facility Master'!AA35,0)</f>
        <v>Annual renewal</v>
      </c>
      <c r="M19" s="77">
        <f t="shared" si="0"/>
        <v>0.97499999999999998</v>
      </c>
      <c r="N19" s="84" t="str">
        <f>IFERROR('Facility Master'!AC35,0)</f>
        <v>1st p-p on CA; 2nd p-p on FA; 2nd p-p mortgage Kalinga Nagar</v>
      </c>
      <c r="O19" s="84" t="str">
        <f>IFERROR('Facility Master'!AE35,0)</f>
        <v>Total LC + Capex LC &lt;= INR 150 Cr.</v>
      </c>
    </row>
    <row r="20" spans="2:15" ht="33.75" customHeight="1" x14ac:dyDescent="0.3">
      <c r="B20" s="40">
        <v>15</v>
      </c>
      <c r="C20" s="83" t="str">
        <f>'Facility Master'!C36</f>
        <v>South Indian Bank</v>
      </c>
      <c r="D20" s="84" t="str">
        <f>'Facility Master'!D36</f>
        <v>Capex LC</v>
      </c>
      <c r="E20" s="84" t="str">
        <f>'Facility Master'!G36</f>
        <v>Main (within LC umbrella)</v>
      </c>
      <c r="F20" s="76">
        <f>'Facility Master'!J36</f>
        <v>50</v>
      </c>
      <c r="G20" s="76">
        <f>'Facility Master'!L36</f>
        <v>50</v>
      </c>
      <c r="H20" s="76">
        <f>'Facility Master'!N36</f>
        <v>0</v>
      </c>
      <c r="I20" s="85">
        <f>'Facility Master'!M36</f>
        <v>1</v>
      </c>
      <c r="J20" s="85">
        <f>'Facility Master'!Q36</f>
        <v>7.4999999999999997E-3</v>
      </c>
      <c r="K20" s="86">
        <f>IFERROR('Facility Master'!U36,0)</f>
        <v>12</v>
      </c>
      <c r="L20" s="87" t="str">
        <f>IFERROR('Facility Master'!AA36,0)</f>
        <v>Annual renewal</v>
      </c>
      <c r="M20" s="77">
        <f t="shared" si="0"/>
        <v>0.375</v>
      </c>
      <c r="N20" s="84" t="str">
        <f>IFERROR('Facility Master'!AC36,0)</f>
        <v>1st p-p on CA; 2nd p-p on FA; 2nd p-p mortgage Kalinga Nagar</v>
      </c>
      <c r="O20" s="84" t="str">
        <f>IFERROR('Facility Master'!AE36,0)</f>
        <v>Combined with Inland/Import LC limit.</v>
      </c>
    </row>
    <row r="21" spans="2:15" ht="33.75" customHeight="1" x14ac:dyDescent="0.3">
      <c r="B21" s="55">
        <v>16</v>
      </c>
      <c r="C21" s="83" t="str">
        <f>'Facility Master'!C37</f>
        <v>South Indian Bank</v>
      </c>
      <c r="D21" s="84" t="str">
        <f>'Facility Master'!D37</f>
        <v>SBLC</v>
      </c>
      <c r="E21" s="84" t="str">
        <f>'Facility Master'!G37</f>
        <v>Sub-limit of LC</v>
      </c>
      <c r="F21" s="76">
        <f>'Facility Master'!J37</f>
        <v>150</v>
      </c>
      <c r="G21" s="76">
        <f>'Facility Master'!L37</f>
        <v>150</v>
      </c>
      <c r="H21" s="76">
        <f>'Facility Master'!N37</f>
        <v>0</v>
      </c>
      <c r="I21" s="85">
        <f>'Facility Master'!M37</f>
        <v>1</v>
      </c>
      <c r="J21" s="85">
        <f>'Facility Master'!Q37</f>
        <v>6.4999999999999997E-3</v>
      </c>
      <c r="K21" s="86">
        <f>IFERROR('Facility Master'!U37,0)</f>
        <v>4</v>
      </c>
      <c r="L21" s="87" t="str">
        <f>IFERROR('Facility Master'!AA37,0)</f>
        <v>Annual renewal</v>
      </c>
      <c r="M21" s="77">
        <f t="shared" si="0"/>
        <v>0.97499999999999998</v>
      </c>
      <c r="N21" s="84" t="str">
        <f>IFERROR('Facility Master'!AC37,0)</f>
        <v>1st p-p on CA; 2nd p-p on FA; 2nd p-p mortgage Kalinga Nagar</v>
      </c>
      <c r="O21" s="84" t="str">
        <f>IFERROR('Facility Master'!AE37,0)</f>
        <v>No rollover. BC all-in-cost: Benchmark + 300 bps cap.</v>
      </c>
    </row>
    <row r="22" spans="2:15" ht="33.75" customHeight="1" x14ac:dyDescent="0.3">
      <c r="B22" s="40">
        <v>17</v>
      </c>
      <c r="C22" s="83" t="str">
        <f>'Facility Master'!C38</f>
        <v>South Indian Bank</v>
      </c>
      <c r="D22" s="84" t="str">
        <f>'Facility Master'!D38</f>
        <v>Forward Contract Limit</v>
      </c>
      <c r="E22" s="84" t="str">
        <f>'Facility Master'!G38</f>
        <v>Main</v>
      </c>
      <c r="F22" s="76">
        <f>'Facility Master'!J38</f>
        <v>3</v>
      </c>
      <c r="G22" s="76">
        <f>'Facility Master'!L38</f>
        <v>3</v>
      </c>
      <c r="H22" s="76">
        <f>'Facility Master'!N38</f>
        <v>0</v>
      </c>
      <c r="I22" s="85">
        <f>'Facility Master'!M38</f>
        <v>1</v>
      </c>
      <c r="J22" s="85">
        <f>'Facility Master'!Q38</f>
        <v>0</v>
      </c>
      <c r="K22" s="86">
        <f>IFERROR('Facility Master'!U38,0)</f>
        <v>12</v>
      </c>
      <c r="L22" s="87" t="str">
        <f>IFERROR('Facility Master'!AA38,0)</f>
        <v>Annual renewal</v>
      </c>
      <c r="M22" s="77">
        <f t="shared" si="0"/>
        <v>0</v>
      </c>
      <c r="N22" s="84" t="str">
        <f>IFERROR('Facility Master'!AC38,0)</f>
        <v>N/A</v>
      </c>
      <c r="O22" s="84" t="str">
        <f>IFERROR('Facility Master'!AE38,0)</f>
        <v>Notional limit; no cash outflow unless settled.</v>
      </c>
    </row>
    <row r="23" spans="2:15" ht="15" customHeight="1" x14ac:dyDescent="0.3">
      <c r="B23" s="304" t="s">
        <v>439</v>
      </c>
      <c r="C23" s="304"/>
      <c r="D23" s="304"/>
      <c r="E23" s="304"/>
      <c r="F23" s="72">
        <f>SUM(F6:F22)</f>
        <v>1593</v>
      </c>
      <c r="G23" s="72">
        <f>SUM(G6:G22)</f>
        <v>1593</v>
      </c>
      <c r="H23" s="72">
        <f>SUM(H6:H22)</f>
        <v>0</v>
      </c>
      <c r="I23" s="73">
        <f>IFERROR(G23/F23,0)</f>
        <v>1</v>
      </c>
      <c r="J23" s="71"/>
      <c r="K23" s="71"/>
      <c r="L23" s="71"/>
      <c r="M23" s="72">
        <f>IFERROR(SUM(M6:M22),0)</f>
        <v>7.13</v>
      </c>
      <c r="N23" s="71"/>
      <c r="O23" s="71"/>
    </row>
  </sheetData>
  <mergeCells count="3">
    <mergeCell ref="B2:O2"/>
    <mergeCell ref="B3:O3"/>
    <mergeCell ref="B23:E2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DC3E6"/>
  </sheetPr>
  <dimension ref="B2:L246"/>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6640625" defaultRowHeight="14.4" x14ac:dyDescent="0.3"/>
  <cols>
    <col min="1" max="1" width="3" customWidth="1"/>
    <col min="2" max="2" width="16.5546875" customWidth="1"/>
    <col min="3" max="3" width="14" customWidth="1"/>
    <col min="4" max="4" width="28" customWidth="1"/>
    <col min="5" max="8" width="14" customWidth="1"/>
    <col min="9" max="9" width="12" customWidth="1"/>
    <col min="10" max="10" width="9" customWidth="1"/>
    <col min="11" max="12" width="14" customWidth="1"/>
  </cols>
  <sheetData>
    <row r="2" spans="2:12" ht="36" customHeight="1" x14ac:dyDescent="0.3">
      <c r="B2" s="332" t="s">
        <v>498</v>
      </c>
      <c r="C2" s="332"/>
      <c r="D2" s="332"/>
      <c r="E2" s="332"/>
      <c r="F2" s="332"/>
      <c r="G2" s="332"/>
      <c r="H2" s="332"/>
      <c r="I2" s="332"/>
      <c r="J2" s="332"/>
      <c r="K2" s="332"/>
      <c r="L2" s="332"/>
    </row>
    <row r="3" spans="2:12" ht="27.75" customHeight="1" x14ac:dyDescent="0.3">
      <c r="B3" s="311" t="s">
        <v>499</v>
      </c>
      <c r="C3" s="311"/>
      <c r="D3" s="311"/>
      <c r="E3" s="311"/>
      <c r="F3" s="311"/>
      <c r="G3" s="311"/>
      <c r="H3" s="311"/>
      <c r="I3" s="311"/>
      <c r="J3" s="311"/>
      <c r="K3" s="311"/>
      <c r="L3" s="311"/>
    </row>
    <row r="4" spans="2:12" s="126" customFormat="1" ht="7.95" customHeight="1" x14ac:dyDescent="0.3"/>
    <row r="5" spans="2:12" x14ac:dyDescent="0.3">
      <c r="B5" s="331" t="s">
        <v>500</v>
      </c>
      <c r="C5" s="331"/>
      <c r="D5" s="331"/>
      <c r="E5" s="331"/>
      <c r="F5" s="331"/>
      <c r="G5" s="331"/>
      <c r="H5" s="331"/>
      <c r="I5" s="331"/>
      <c r="J5" s="331"/>
      <c r="K5" s="331"/>
      <c r="L5" s="331"/>
    </row>
    <row r="6" spans="2:12" ht="26.4" x14ac:dyDescent="0.3">
      <c r="B6" s="328" t="s">
        <v>501</v>
      </c>
      <c r="C6" s="328" t="s">
        <v>502</v>
      </c>
      <c r="D6" s="328" t="s">
        <v>503</v>
      </c>
      <c r="E6" s="328" t="s">
        <v>504</v>
      </c>
      <c r="F6" s="328" t="s">
        <v>505</v>
      </c>
      <c r="G6" s="328" t="s">
        <v>506</v>
      </c>
      <c r="H6" s="328" t="s">
        <v>507</v>
      </c>
      <c r="I6" s="328" t="s">
        <v>508</v>
      </c>
      <c r="J6" s="330"/>
      <c r="K6" s="330"/>
      <c r="L6" s="330"/>
    </row>
    <row r="7" spans="2:12" ht="15" customHeight="1" x14ac:dyDescent="0.3">
      <c r="B7" s="88">
        <f>'Facility Master'!J13</f>
        <v>200</v>
      </c>
      <c r="C7" s="89">
        <f>'Facility Master'!W13</f>
        <v>45315</v>
      </c>
      <c r="D7" s="90">
        <f>'Facility Master'!S13</f>
        <v>24</v>
      </c>
      <c r="E7" s="89">
        <f>'Facility Master'!X13</f>
        <v>46046</v>
      </c>
      <c r="F7" s="89">
        <f>'Facility Master'!Y13</f>
        <v>47142</v>
      </c>
      <c r="G7" s="90">
        <f>'Facility Master'!V13</f>
        <v>12</v>
      </c>
      <c r="H7" s="88">
        <f>'Facility Master'!J13/'Facility Master'!V13</f>
        <v>16.666666666666668</v>
      </c>
      <c r="I7" s="91">
        <f>'Facility Master'!Q13</f>
        <v>9.7500000000000003E-2</v>
      </c>
    </row>
    <row r="9" spans="2:12" ht="39.75" customHeight="1" x14ac:dyDescent="0.3">
      <c r="B9" s="9" t="s">
        <v>422</v>
      </c>
      <c r="C9" s="9" t="s">
        <v>509</v>
      </c>
      <c r="D9" s="9" t="s">
        <v>510</v>
      </c>
      <c r="E9" s="9" t="s">
        <v>511</v>
      </c>
      <c r="F9" s="9" t="s">
        <v>502</v>
      </c>
      <c r="G9" s="9" t="s">
        <v>512</v>
      </c>
      <c r="H9" s="9" t="s">
        <v>513</v>
      </c>
      <c r="I9" s="9" t="s">
        <v>514</v>
      </c>
      <c r="J9" s="9" t="s">
        <v>515</v>
      </c>
      <c r="K9" s="9" t="s">
        <v>516</v>
      </c>
      <c r="L9" s="9" t="s">
        <v>517</v>
      </c>
    </row>
    <row r="10" spans="2:12" ht="15.75" customHeight="1" x14ac:dyDescent="0.3">
      <c r="B10" s="92">
        <v>1</v>
      </c>
      <c r="C10" s="53">
        <v>45382</v>
      </c>
      <c r="D10" s="92" t="s">
        <v>518</v>
      </c>
      <c r="E10" s="45">
        <v>0</v>
      </c>
      <c r="F10" s="45">
        <f>IF(C10&gt;='Facility Master'!W13,'Facility Master'!J13,0)</f>
        <v>200</v>
      </c>
      <c r="G10" s="45">
        <f>IFERROR(IF(AND('Facility Master'!X13&lt;&gt;"-",C10&gt;='Facility Master'!X13,C10&lt;='Facility Master'!Y13),MIN(E10+F10,'Facility Master'!J13/'Facility Master'!V13),0),0)</f>
        <v>0</v>
      </c>
      <c r="H10" s="45">
        <f t="shared" ref="H10:H41" si="0">E10+F10-G10</f>
        <v>200</v>
      </c>
      <c r="I10" s="93">
        <f>'Facility Master'!Q13</f>
        <v>9.7500000000000003E-2</v>
      </c>
      <c r="J10" s="94">
        <f>IF(AND(E10=0,F10=0),0,IF('Facility Master'!W13&gt;=C10,0,C10-MAX('Facility Master'!W13,EDATE(C10,-3))))</f>
        <v>67</v>
      </c>
      <c r="K10" s="45">
        <f t="shared" ref="K10:K41" si="1">IFERROR(E10*I10*J10/DaysInYear,0)</f>
        <v>0</v>
      </c>
      <c r="L10" s="45">
        <f t="shared" ref="L10:L41" si="2">G10+K10</f>
        <v>0</v>
      </c>
    </row>
    <row r="11" spans="2:12" ht="15.75" customHeight="1" x14ac:dyDescent="0.3">
      <c r="B11" s="95">
        <v>2</v>
      </c>
      <c r="C11" s="67">
        <v>45473</v>
      </c>
      <c r="D11" s="95" t="s">
        <v>519</v>
      </c>
      <c r="E11" s="60">
        <f t="shared" ref="E11:E42" si="3">H10</f>
        <v>200</v>
      </c>
      <c r="F11" s="60">
        <f>IF(AND('Facility Master'!W13&gt;C10,'Facility Master'!W13&lt;=C11),'Facility Master'!J13,0)</f>
        <v>0</v>
      </c>
      <c r="G11" s="60">
        <f>IFERROR(IF(AND('Facility Master'!X13&lt;&gt;"-",C11&gt;='Facility Master'!X13,C11&lt;='Facility Master'!Y13),MIN(E11+F11,'Facility Master'!J13/'Facility Master'!V13),0),0)</f>
        <v>0</v>
      </c>
      <c r="H11" s="60">
        <f t="shared" si="0"/>
        <v>200</v>
      </c>
      <c r="I11" s="96">
        <f>'Facility Master'!Q13</f>
        <v>9.7500000000000003E-2</v>
      </c>
      <c r="J11" s="97">
        <f t="shared" ref="J11:J42" si="4">C11-C10</f>
        <v>91</v>
      </c>
      <c r="K11" s="60">
        <f t="shared" si="1"/>
        <v>4.8616438356164382</v>
      </c>
      <c r="L11" s="60">
        <f t="shared" si="2"/>
        <v>4.8616438356164382</v>
      </c>
    </row>
    <row r="12" spans="2:12" ht="15.75" customHeight="1" x14ac:dyDescent="0.3">
      <c r="B12" s="92">
        <v>3</v>
      </c>
      <c r="C12" s="53">
        <v>45565</v>
      </c>
      <c r="D12" s="92" t="s">
        <v>520</v>
      </c>
      <c r="E12" s="45">
        <f t="shared" si="3"/>
        <v>200</v>
      </c>
      <c r="F12" s="45">
        <f>IF(AND('Facility Master'!W13&gt;C11,'Facility Master'!W13&lt;=C12),'Facility Master'!J13,0)</f>
        <v>0</v>
      </c>
      <c r="G12" s="45">
        <f>IFERROR(IF(AND('Facility Master'!X13&lt;&gt;"-",C12&gt;='Facility Master'!X13,C12&lt;='Facility Master'!Y13),MIN(E12+F12,'Facility Master'!J13/'Facility Master'!V13),0),0)</f>
        <v>0</v>
      </c>
      <c r="H12" s="45">
        <f t="shared" si="0"/>
        <v>200</v>
      </c>
      <c r="I12" s="93">
        <f>'Facility Master'!Q13</f>
        <v>9.7500000000000003E-2</v>
      </c>
      <c r="J12" s="94">
        <f t="shared" si="4"/>
        <v>92</v>
      </c>
      <c r="K12" s="45">
        <f t="shared" si="1"/>
        <v>4.9150684931506845</v>
      </c>
      <c r="L12" s="45">
        <f t="shared" si="2"/>
        <v>4.9150684931506845</v>
      </c>
    </row>
    <row r="13" spans="2:12" ht="15.75" customHeight="1" x14ac:dyDescent="0.3">
      <c r="B13" s="95">
        <v>4</v>
      </c>
      <c r="C13" s="67">
        <v>45657</v>
      </c>
      <c r="D13" s="95" t="s">
        <v>521</v>
      </c>
      <c r="E13" s="60">
        <f t="shared" si="3"/>
        <v>200</v>
      </c>
      <c r="F13" s="60">
        <f>IF(AND('Facility Master'!W13&gt;C12,'Facility Master'!W13&lt;=C13),'Facility Master'!J13,0)</f>
        <v>0</v>
      </c>
      <c r="G13" s="60">
        <f>IFERROR(IF(AND('Facility Master'!X13&lt;&gt;"-",C13&gt;='Facility Master'!X13,C13&lt;='Facility Master'!Y13),MIN(E13+F13,'Facility Master'!J13/'Facility Master'!V13),0),0)</f>
        <v>0</v>
      </c>
      <c r="H13" s="60">
        <f t="shared" si="0"/>
        <v>200</v>
      </c>
      <c r="I13" s="96">
        <f>'Facility Master'!Q13</f>
        <v>9.7500000000000003E-2</v>
      </c>
      <c r="J13" s="97">
        <f t="shared" si="4"/>
        <v>92</v>
      </c>
      <c r="K13" s="60">
        <f t="shared" si="1"/>
        <v>4.9150684931506845</v>
      </c>
      <c r="L13" s="60">
        <f t="shared" si="2"/>
        <v>4.9150684931506845</v>
      </c>
    </row>
    <row r="14" spans="2:12" ht="15.75" customHeight="1" x14ac:dyDescent="0.3">
      <c r="B14" s="92">
        <v>5</v>
      </c>
      <c r="C14" s="53">
        <v>45747</v>
      </c>
      <c r="D14" s="92" t="s">
        <v>522</v>
      </c>
      <c r="E14" s="45">
        <f t="shared" si="3"/>
        <v>200</v>
      </c>
      <c r="F14" s="45">
        <f>IF(AND('Facility Master'!W13&gt;C13,'Facility Master'!W13&lt;=C14),'Facility Master'!J13,0)</f>
        <v>0</v>
      </c>
      <c r="G14" s="45">
        <f>IFERROR(IF(AND('Facility Master'!X13&lt;&gt;"-",C14&gt;='Facility Master'!X13,C14&lt;='Facility Master'!Y13),MIN(E14+F14,'Facility Master'!J13/'Facility Master'!V13),0),0)</f>
        <v>0</v>
      </c>
      <c r="H14" s="45">
        <f t="shared" si="0"/>
        <v>200</v>
      </c>
      <c r="I14" s="93">
        <f>'Facility Master'!Q13</f>
        <v>9.7500000000000003E-2</v>
      </c>
      <c r="J14" s="94">
        <f t="shared" si="4"/>
        <v>90</v>
      </c>
      <c r="K14" s="45">
        <f t="shared" si="1"/>
        <v>4.8082191780821919</v>
      </c>
      <c r="L14" s="45">
        <f t="shared" si="2"/>
        <v>4.8082191780821919</v>
      </c>
    </row>
    <row r="15" spans="2:12" ht="15.75" customHeight="1" x14ac:dyDescent="0.3">
      <c r="B15" s="95">
        <v>6</v>
      </c>
      <c r="C15" s="67">
        <v>45838</v>
      </c>
      <c r="D15" s="95" t="s">
        <v>523</v>
      </c>
      <c r="E15" s="60">
        <f t="shared" si="3"/>
        <v>200</v>
      </c>
      <c r="F15" s="60">
        <f>IF(AND('Facility Master'!W13&gt;C14,'Facility Master'!W13&lt;=C15),'Facility Master'!J13,0)</f>
        <v>0</v>
      </c>
      <c r="G15" s="60">
        <f>IFERROR(IF(AND('Facility Master'!X13&lt;&gt;"-",C15&gt;='Facility Master'!X13,C15&lt;='Facility Master'!Y13),MIN(E15+F15,'Facility Master'!J13/'Facility Master'!V13),0),0)</f>
        <v>0</v>
      </c>
      <c r="H15" s="60">
        <f t="shared" si="0"/>
        <v>200</v>
      </c>
      <c r="I15" s="96">
        <f>'Facility Master'!Q13</f>
        <v>9.7500000000000003E-2</v>
      </c>
      <c r="J15" s="97">
        <f t="shared" si="4"/>
        <v>91</v>
      </c>
      <c r="K15" s="60">
        <f t="shared" si="1"/>
        <v>4.8616438356164382</v>
      </c>
      <c r="L15" s="60">
        <f t="shared" si="2"/>
        <v>4.8616438356164382</v>
      </c>
    </row>
    <row r="16" spans="2:12" ht="15.75" customHeight="1" x14ac:dyDescent="0.3">
      <c r="B16" s="92">
        <v>7</v>
      </c>
      <c r="C16" s="53">
        <v>45930</v>
      </c>
      <c r="D16" s="92" t="s">
        <v>524</v>
      </c>
      <c r="E16" s="45">
        <f t="shared" si="3"/>
        <v>200</v>
      </c>
      <c r="F16" s="45">
        <f>IF(AND('Facility Master'!W13&gt;C15,'Facility Master'!W13&lt;=C16),'Facility Master'!J13,0)</f>
        <v>0</v>
      </c>
      <c r="G16" s="45">
        <f>IFERROR(IF(AND('Facility Master'!X13&lt;&gt;"-",C16&gt;='Facility Master'!X13,C16&lt;='Facility Master'!Y13),MIN(E16+F16,'Facility Master'!J13/'Facility Master'!V13),0),0)</f>
        <v>0</v>
      </c>
      <c r="H16" s="45">
        <f t="shared" si="0"/>
        <v>200</v>
      </c>
      <c r="I16" s="93">
        <f>'Facility Master'!Q13</f>
        <v>9.7500000000000003E-2</v>
      </c>
      <c r="J16" s="94">
        <f t="shared" si="4"/>
        <v>92</v>
      </c>
      <c r="K16" s="45">
        <f t="shared" si="1"/>
        <v>4.9150684931506845</v>
      </c>
      <c r="L16" s="45">
        <f t="shared" si="2"/>
        <v>4.9150684931506845</v>
      </c>
    </row>
    <row r="17" spans="2:12" ht="15.75" customHeight="1" x14ac:dyDescent="0.3">
      <c r="B17" s="95">
        <v>8</v>
      </c>
      <c r="C17" s="67">
        <v>46022</v>
      </c>
      <c r="D17" s="95" t="s">
        <v>525</v>
      </c>
      <c r="E17" s="60">
        <f t="shared" si="3"/>
        <v>200</v>
      </c>
      <c r="F17" s="60">
        <f>IF(AND('Facility Master'!W13&gt;C16,'Facility Master'!W13&lt;=C17),'Facility Master'!J13,0)</f>
        <v>0</v>
      </c>
      <c r="G17" s="60">
        <f>IFERROR(IF(AND('Facility Master'!X13&lt;&gt;"-",C17&gt;='Facility Master'!X13,C17&lt;='Facility Master'!Y13),MIN(E17+F17,'Facility Master'!J13/'Facility Master'!V13),0),0)</f>
        <v>0</v>
      </c>
      <c r="H17" s="60">
        <f t="shared" si="0"/>
        <v>200</v>
      </c>
      <c r="I17" s="96">
        <f>'Facility Master'!Q13</f>
        <v>9.7500000000000003E-2</v>
      </c>
      <c r="J17" s="97">
        <f t="shared" si="4"/>
        <v>92</v>
      </c>
      <c r="K17" s="60">
        <f t="shared" si="1"/>
        <v>4.9150684931506845</v>
      </c>
      <c r="L17" s="60">
        <f t="shared" si="2"/>
        <v>4.9150684931506845</v>
      </c>
    </row>
    <row r="18" spans="2:12" ht="15.75" customHeight="1" x14ac:dyDescent="0.3">
      <c r="B18" s="92">
        <v>9</v>
      </c>
      <c r="C18" s="53">
        <v>46112</v>
      </c>
      <c r="D18" s="92" t="s">
        <v>526</v>
      </c>
      <c r="E18" s="45">
        <f t="shared" si="3"/>
        <v>200</v>
      </c>
      <c r="F18" s="45">
        <f>IF(AND('Facility Master'!W13&gt;C17,'Facility Master'!W13&lt;=C18),'Facility Master'!J13,0)</f>
        <v>0</v>
      </c>
      <c r="G18" s="45">
        <f>IFERROR(IF(AND('Facility Master'!X13&lt;&gt;"-",C18&gt;='Facility Master'!X13,C18&lt;='Facility Master'!Y13),MIN(E18+F18,'Facility Master'!J13/'Facility Master'!V13),0),0)</f>
        <v>16.666666666666668</v>
      </c>
      <c r="H18" s="45">
        <f t="shared" si="0"/>
        <v>183.33333333333334</v>
      </c>
      <c r="I18" s="93">
        <f>'Facility Master'!Q13</f>
        <v>9.7500000000000003E-2</v>
      </c>
      <c r="J18" s="94">
        <f t="shared" si="4"/>
        <v>90</v>
      </c>
      <c r="K18" s="45">
        <f t="shared" si="1"/>
        <v>4.8082191780821919</v>
      </c>
      <c r="L18" s="45">
        <f t="shared" si="2"/>
        <v>21.474885844748862</v>
      </c>
    </row>
    <row r="19" spans="2:12" ht="15.75" customHeight="1" x14ac:dyDescent="0.3">
      <c r="B19" s="95">
        <v>10</v>
      </c>
      <c r="C19" s="67">
        <v>46203</v>
      </c>
      <c r="D19" s="95" t="s">
        <v>527</v>
      </c>
      <c r="E19" s="60">
        <f t="shared" si="3"/>
        <v>183.33333333333334</v>
      </c>
      <c r="F19" s="60">
        <f>IF(AND('Facility Master'!W13&gt;C18,'Facility Master'!W13&lt;=C19),'Facility Master'!J13,0)</f>
        <v>0</v>
      </c>
      <c r="G19" s="60">
        <f>IFERROR(IF(AND('Facility Master'!X13&lt;&gt;"-",C19&gt;='Facility Master'!X13,C19&lt;='Facility Master'!Y13),MIN(E19+F19,'Facility Master'!J13/'Facility Master'!V13),0),0)</f>
        <v>16.666666666666668</v>
      </c>
      <c r="H19" s="60">
        <f t="shared" si="0"/>
        <v>166.66666666666669</v>
      </c>
      <c r="I19" s="96">
        <f>'Facility Master'!Q13</f>
        <v>9.7500000000000003E-2</v>
      </c>
      <c r="J19" s="97">
        <f t="shared" si="4"/>
        <v>91</v>
      </c>
      <c r="K19" s="60">
        <f t="shared" si="1"/>
        <v>4.4565068493150681</v>
      </c>
      <c r="L19" s="60">
        <f t="shared" si="2"/>
        <v>21.123173515981737</v>
      </c>
    </row>
    <row r="20" spans="2:12" ht="15.75" customHeight="1" x14ac:dyDescent="0.3">
      <c r="B20" s="92">
        <v>11</v>
      </c>
      <c r="C20" s="53">
        <v>46295</v>
      </c>
      <c r="D20" s="92" t="s">
        <v>528</v>
      </c>
      <c r="E20" s="45">
        <f t="shared" si="3"/>
        <v>166.66666666666669</v>
      </c>
      <c r="F20" s="45">
        <f>IF(AND('Facility Master'!W13&gt;C19,'Facility Master'!W13&lt;=C20),'Facility Master'!J13,0)</f>
        <v>0</v>
      </c>
      <c r="G20" s="45">
        <f>IFERROR(IF(AND('Facility Master'!X13&lt;&gt;"-",C20&gt;='Facility Master'!X13,C20&lt;='Facility Master'!Y13),MIN(E20+F20,'Facility Master'!J13/'Facility Master'!V13),0),0)</f>
        <v>16.666666666666668</v>
      </c>
      <c r="H20" s="45">
        <f t="shared" si="0"/>
        <v>150.00000000000003</v>
      </c>
      <c r="I20" s="93">
        <f>'Facility Master'!Q13</f>
        <v>9.7500000000000003E-2</v>
      </c>
      <c r="J20" s="94">
        <f t="shared" si="4"/>
        <v>92</v>
      </c>
      <c r="K20" s="45">
        <f t="shared" si="1"/>
        <v>4.0958904109589049</v>
      </c>
      <c r="L20" s="45">
        <f t="shared" si="2"/>
        <v>20.762557077625573</v>
      </c>
    </row>
    <row r="21" spans="2:12" ht="15.75" customHeight="1" x14ac:dyDescent="0.3">
      <c r="B21" s="95">
        <v>12</v>
      </c>
      <c r="C21" s="67">
        <v>46387</v>
      </c>
      <c r="D21" s="95" t="s">
        <v>529</v>
      </c>
      <c r="E21" s="60">
        <f t="shared" si="3"/>
        <v>150.00000000000003</v>
      </c>
      <c r="F21" s="60">
        <f>IF(AND('Facility Master'!W13&gt;C20,'Facility Master'!W13&lt;=C21),'Facility Master'!J13,0)</f>
        <v>0</v>
      </c>
      <c r="G21" s="60">
        <f>IFERROR(IF(AND('Facility Master'!X13&lt;&gt;"-",C21&gt;='Facility Master'!X13,C21&lt;='Facility Master'!Y13),MIN(E21+F21,'Facility Master'!J13/'Facility Master'!V13),0),0)</f>
        <v>16.666666666666668</v>
      </c>
      <c r="H21" s="60">
        <f t="shared" si="0"/>
        <v>133.33333333333337</v>
      </c>
      <c r="I21" s="96">
        <f>'Facility Master'!Q13</f>
        <v>9.7500000000000003E-2</v>
      </c>
      <c r="J21" s="97">
        <f t="shared" si="4"/>
        <v>92</v>
      </c>
      <c r="K21" s="60">
        <f t="shared" si="1"/>
        <v>3.6863013698630143</v>
      </c>
      <c r="L21" s="60">
        <f t="shared" si="2"/>
        <v>20.352968036529681</v>
      </c>
    </row>
    <row r="22" spans="2:12" ht="15.75" customHeight="1" x14ac:dyDescent="0.3">
      <c r="B22" s="92">
        <v>13</v>
      </c>
      <c r="C22" s="53">
        <v>46477</v>
      </c>
      <c r="D22" s="92" t="s">
        <v>530</v>
      </c>
      <c r="E22" s="45">
        <f t="shared" si="3"/>
        <v>133.33333333333337</v>
      </c>
      <c r="F22" s="45">
        <f>IF(AND('Facility Master'!W13&gt;C21,'Facility Master'!W13&lt;=C22),'Facility Master'!J13,0)</f>
        <v>0</v>
      </c>
      <c r="G22" s="45">
        <f>IFERROR(IF(AND('Facility Master'!X13&lt;&gt;"-",C22&gt;='Facility Master'!X13,C22&lt;='Facility Master'!Y13),MIN(E22+F22,'Facility Master'!J13/'Facility Master'!V13),0),0)</f>
        <v>16.666666666666668</v>
      </c>
      <c r="H22" s="45">
        <f t="shared" si="0"/>
        <v>116.6666666666667</v>
      </c>
      <c r="I22" s="93">
        <f>'Facility Master'!Q13</f>
        <v>9.7500000000000003E-2</v>
      </c>
      <c r="J22" s="94">
        <f t="shared" si="4"/>
        <v>90</v>
      </c>
      <c r="K22" s="45">
        <f t="shared" si="1"/>
        <v>3.2054794520547953</v>
      </c>
      <c r="L22" s="45">
        <f t="shared" si="2"/>
        <v>19.872146118721464</v>
      </c>
    </row>
    <row r="23" spans="2:12" ht="15.75" customHeight="1" x14ac:dyDescent="0.3">
      <c r="B23" s="95">
        <v>14</v>
      </c>
      <c r="C23" s="67">
        <v>46568</v>
      </c>
      <c r="D23" s="95" t="s">
        <v>531</v>
      </c>
      <c r="E23" s="60">
        <f t="shared" si="3"/>
        <v>116.6666666666667</v>
      </c>
      <c r="F23" s="60">
        <f>IF(AND('Facility Master'!W13&gt;C22,'Facility Master'!W13&lt;=C23),'Facility Master'!J13,0)</f>
        <v>0</v>
      </c>
      <c r="G23" s="60">
        <f>IFERROR(IF(AND('Facility Master'!X13&lt;&gt;"-",C23&gt;='Facility Master'!X13,C23&lt;='Facility Master'!Y13),MIN(E23+F23,'Facility Master'!J13/'Facility Master'!V13),0),0)</f>
        <v>16.666666666666668</v>
      </c>
      <c r="H23" s="60">
        <f t="shared" si="0"/>
        <v>100.00000000000003</v>
      </c>
      <c r="I23" s="96">
        <f>'Facility Master'!Q13</f>
        <v>9.7500000000000003E-2</v>
      </c>
      <c r="J23" s="97">
        <f t="shared" si="4"/>
        <v>91</v>
      </c>
      <c r="K23" s="60">
        <f t="shared" si="1"/>
        <v>2.8359589041095896</v>
      </c>
      <c r="L23" s="60">
        <f t="shared" si="2"/>
        <v>19.502625570776257</v>
      </c>
    </row>
    <row r="24" spans="2:12" ht="15.75" customHeight="1" x14ac:dyDescent="0.3">
      <c r="B24" s="92">
        <v>15</v>
      </c>
      <c r="C24" s="53">
        <v>46660</v>
      </c>
      <c r="D24" s="92" t="s">
        <v>532</v>
      </c>
      <c r="E24" s="45">
        <f t="shared" si="3"/>
        <v>100.00000000000003</v>
      </c>
      <c r="F24" s="45">
        <f>IF(AND('Facility Master'!W13&gt;C23,'Facility Master'!W13&lt;=C24),'Facility Master'!J13,0)</f>
        <v>0</v>
      </c>
      <c r="G24" s="45">
        <f>IFERROR(IF(AND('Facility Master'!X13&lt;&gt;"-",C24&gt;='Facility Master'!X13,C24&lt;='Facility Master'!Y13),MIN(E24+F24,'Facility Master'!J13/'Facility Master'!V13),0),0)</f>
        <v>16.666666666666668</v>
      </c>
      <c r="H24" s="45">
        <f t="shared" si="0"/>
        <v>83.333333333333357</v>
      </c>
      <c r="I24" s="93">
        <f>'Facility Master'!Q13</f>
        <v>9.7500000000000003E-2</v>
      </c>
      <c r="J24" s="94">
        <f t="shared" si="4"/>
        <v>92</v>
      </c>
      <c r="K24" s="45">
        <f t="shared" si="1"/>
        <v>2.4575342465753436</v>
      </c>
      <c r="L24" s="45">
        <f t="shared" si="2"/>
        <v>19.12420091324201</v>
      </c>
    </row>
    <row r="25" spans="2:12" ht="15.75" customHeight="1" x14ac:dyDescent="0.3">
      <c r="B25" s="95">
        <v>16</v>
      </c>
      <c r="C25" s="67">
        <v>46752</v>
      </c>
      <c r="D25" s="95" t="s">
        <v>533</v>
      </c>
      <c r="E25" s="60">
        <f t="shared" si="3"/>
        <v>83.333333333333357</v>
      </c>
      <c r="F25" s="60">
        <f>IF(AND('Facility Master'!W13&gt;C24,'Facility Master'!W13&lt;=C25),'Facility Master'!J13,0)</f>
        <v>0</v>
      </c>
      <c r="G25" s="60">
        <f>IFERROR(IF(AND('Facility Master'!X13&lt;&gt;"-",C25&gt;='Facility Master'!X13,C25&lt;='Facility Master'!Y13),MIN(E25+F25,'Facility Master'!J13/'Facility Master'!V13),0),0)</f>
        <v>16.666666666666668</v>
      </c>
      <c r="H25" s="60">
        <f t="shared" si="0"/>
        <v>66.666666666666686</v>
      </c>
      <c r="I25" s="96">
        <f>'Facility Master'!Q13</f>
        <v>9.7500000000000003E-2</v>
      </c>
      <c r="J25" s="97">
        <f t="shared" si="4"/>
        <v>92</v>
      </c>
      <c r="K25" s="60">
        <f t="shared" si="1"/>
        <v>2.0479452054794525</v>
      </c>
      <c r="L25" s="60">
        <f t="shared" si="2"/>
        <v>18.714611872146122</v>
      </c>
    </row>
    <row r="26" spans="2:12" ht="15.75" customHeight="1" x14ac:dyDescent="0.3">
      <c r="B26" s="92">
        <v>17</v>
      </c>
      <c r="C26" s="53">
        <v>46843</v>
      </c>
      <c r="D26" s="92" t="s">
        <v>534</v>
      </c>
      <c r="E26" s="45">
        <f t="shared" si="3"/>
        <v>66.666666666666686</v>
      </c>
      <c r="F26" s="45">
        <f>IF(AND('Facility Master'!W13&gt;C25,'Facility Master'!W13&lt;=C26),'Facility Master'!J13,0)</f>
        <v>0</v>
      </c>
      <c r="G26" s="45">
        <f>IFERROR(IF(AND('Facility Master'!X13&lt;&gt;"-",C26&gt;='Facility Master'!X13,C26&lt;='Facility Master'!Y13),MIN(E26+F26,'Facility Master'!J13/'Facility Master'!V13),0),0)</f>
        <v>16.666666666666668</v>
      </c>
      <c r="H26" s="45">
        <f t="shared" si="0"/>
        <v>50.000000000000014</v>
      </c>
      <c r="I26" s="93">
        <f>'Facility Master'!Q13</f>
        <v>9.7500000000000003E-2</v>
      </c>
      <c r="J26" s="94">
        <f t="shared" si="4"/>
        <v>91</v>
      </c>
      <c r="K26" s="45">
        <f t="shared" si="1"/>
        <v>1.6205479452054798</v>
      </c>
      <c r="L26" s="45">
        <f t="shared" si="2"/>
        <v>18.287214611872148</v>
      </c>
    </row>
    <row r="27" spans="2:12" ht="15.75" customHeight="1" x14ac:dyDescent="0.3">
      <c r="B27" s="95">
        <v>18</v>
      </c>
      <c r="C27" s="67">
        <v>46934</v>
      </c>
      <c r="D27" s="95" t="s">
        <v>535</v>
      </c>
      <c r="E27" s="60">
        <f t="shared" si="3"/>
        <v>50.000000000000014</v>
      </c>
      <c r="F27" s="60">
        <f>IF(AND('Facility Master'!W13&gt;C26,'Facility Master'!W13&lt;=C27),'Facility Master'!J13,0)</f>
        <v>0</v>
      </c>
      <c r="G27" s="60">
        <f>IFERROR(IF(AND('Facility Master'!X13&lt;&gt;"-",C27&gt;='Facility Master'!X13,C27&lt;='Facility Master'!Y13),MIN(E27+F27,'Facility Master'!J13/'Facility Master'!V13),0),0)</f>
        <v>16.666666666666668</v>
      </c>
      <c r="H27" s="60">
        <f t="shared" si="0"/>
        <v>33.333333333333343</v>
      </c>
      <c r="I27" s="96">
        <f>'Facility Master'!Q13</f>
        <v>9.7500000000000003E-2</v>
      </c>
      <c r="J27" s="97">
        <f t="shared" si="4"/>
        <v>91</v>
      </c>
      <c r="K27" s="60">
        <f t="shared" si="1"/>
        <v>1.21541095890411</v>
      </c>
      <c r="L27" s="60">
        <f t="shared" si="2"/>
        <v>17.882077625570776</v>
      </c>
    </row>
    <row r="28" spans="2:12" ht="15.75" customHeight="1" x14ac:dyDescent="0.3">
      <c r="B28" s="92">
        <v>19</v>
      </c>
      <c r="C28" s="53">
        <v>47026</v>
      </c>
      <c r="D28" s="92" t="s">
        <v>536</v>
      </c>
      <c r="E28" s="45">
        <f t="shared" si="3"/>
        <v>33.333333333333343</v>
      </c>
      <c r="F28" s="45">
        <f>IF(AND('Facility Master'!W13&gt;C27,'Facility Master'!W13&lt;=C28),'Facility Master'!J13,0)</f>
        <v>0</v>
      </c>
      <c r="G28" s="45">
        <f>IFERROR(IF(AND('Facility Master'!X13&lt;&gt;"-",C28&gt;='Facility Master'!X13,C28&lt;='Facility Master'!Y13),MIN(E28+F28,'Facility Master'!J13/'Facility Master'!V13),0),0)</f>
        <v>16.666666666666668</v>
      </c>
      <c r="H28" s="45">
        <f t="shared" si="0"/>
        <v>16.666666666666675</v>
      </c>
      <c r="I28" s="93">
        <f>'Facility Master'!Q13</f>
        <v>9.7500000000000003E-2</v>
      </c>
      <c r="J28" s="94">
        <f t="shared" si="4"/>
        <v>92</v>
      </c>
      <c r="K28" s="45">
        <f t="shared" si="1"/>
        <v>0.81917808219178101</v>
      </c>
      <c r="L28" s="45">
        <f t="shared" si="2"/>
        <v>17.485844748858447</v>
      </c>
    </row>
    <row r="29" spans="2:12" ht="15.75" customHeight="1" x14ac:dyDescent="0.3">
      <c r="B29" s="95">
        <v>20</v>
      </c>
      <c r="C29" s="67">
        <v>47118</v>
      </c>
      <c r="D29" s="95" t="s">
        <v>537</v>
      </c>
      <c r="E29" s="60">
        <f t="shared" si="3"/>
        <v>16.666666666666675</v>
      </c>
      <c r="F29" s="60">
        <f>IF(AND('Facility Master'!W13&gt;C28,'Facility Master'!W13&lt;=C29),'Facility Master'!J13,0)</f>
        <v>0</v>
      </c>
      <c r="G29" s="60">
        <f>IFERROR(IF(AND('Facility Master'!X13&lt;&gt;"-",C29&gt;='Facility Master'!X13,C29&lt;='Facility Master'!Y13),MIN(E29+F29,'Facility Master'!J13/'Facility Master'!V13),0),0)</f>
        <v>16.666666666666668</v>
      </c>
      <c r="H29" s="60">
        <f t="shared" si="0"/>
        <v>0</v>
      </c>
      <c r="I29" s="96">
        <f>'Facility Master'!Q13</f>
        <v>9.7500000000000003E-2</v>
      </c>
      <c r="J29" s="97">
        <f t="shared" si="4"/>
        <v>92</v>
      </c>
      <c r="K29" s="60">
        <f t="shared" si="1"/>
        <v>0.40958904109589067</v>
      </c>
      <c r="L29" s="60">
        <f t="shared" si="2"/>
        <v>17.076255707762559</v>
      </c>
    </row>
    <row r="30" spans="2:12" ht="15.75" customHeight="1" x14ac:dyDescent="0.3">
      <c r="B30" s="92">
        <v>21</v>
      </c>
      <c r="C30" s="53">
        <v>47208</v>
      </c>
      <c r="D30" s="92" t="s">
        <v>538</v>
      </c>
      <c r="E30" s="45">
        <f t="shared" si="3"/>
        <v>0</v>
      </c>
      <c r="F30" s="45">
        <f>IF(AND('Facility Master'!W13&gt;C29,'Facility Master'!W13&lt;=C30),'Facility Master'!J13,0)</f>
        <v>0</v>
      </c>
      <c r="G30" s="45">
        <f>IFERROR(IF(AND('Facility Master'!X13&lt;&gt;"-",C30&gt;='Facility Master'!X13,C30&lt;='Facility Master'!Y13),MIN(E30+F30,'Facility Master'!J13/'Facility Master'!V13),0),0)</f>
        <v>0</v>
      </c>
      <c r="H30" s="45">
        <f t="shared" si="0"/>
        <v>0</v>
      </c>
      <c r="I30" s="93">
        <f>'Facility Master'!Q13</f>
        <v>9.7500000000000003E-2</v>
      </c>
      <c r="J30" s="94">
        <f t="shared" si="4"/>
        <v>90</v>
      </c>
      <c r="K30" s="45">
        <f t="shared" si="1"/>
        <v>0</v>
      </c>
      <c r="L30" s="45">
        <f t="shared" si="2"/>
        <v>0</v>
      </c>
    </row>
    <row r="31" spans="2:12" ht="15.75" customHeight="1" x14ac:dyDescent="0.3">
      <c r="B31" s="95">
        <v>22</v>
      </c>
      <c r="C31" s="67">
        <v>47299</v>
      </c>
      <c r="D31" s="95" t="s">
        <v>539</v>
      </c>
      <c r="E31" s="60">
        <f t="shared" si="3"/>
        <v>0</v>
      </c>
      <c r="F31" s="60">
        <f>IF(AND('Facility Master'!W13&gt;C30,'Facility Master'!W13&lt;=C31),'Facility Master'!J13,0)</f>
        <v>0</v>
      </c>
      <c r="G31" s="60">
        <f>IFERROR(IF(AND('Facility Master'!X13&lt;&gt;"-",C31&gt;='Facility Master'!X13,C31&lt;='Facility Master'!Y13),MIN(E31+F31,'Facility Master'!J13/'Facility Master'!V13),0),0)</f>
        <v>0</v>
      </c>
      <c r="H31" s="60">
        <f t="shared" si="0"/>
        <v>0</v>
      </c>
      <c r="I31" s="96">
        <f>'Facility Master'!Q13</f>
        <v>9.7500000000000003E-2</v>
      </c>
      <c r="J31" s="97">
        <f t="shared" si="4"/>
        <v>91</v>
      </c>
      <c r="K31" s="60">
        <f t="shared" si="1"/>
        <v>0</v>
      </c>
      <c r="L31" s="60">
        <f t="shared" si="2"/>
        <v>0</v>
      </c>
    </row>
    <row r="32" spans="2:12" ht="15.75" customHeight="1" x14ac:dyDescent="0.3">
      <c r="B32" s="92">
        <v>23</v>
      </c>
      <c r="C32" s="53">
        <v>47391</v>
      </c>
      <c r="D32" s="92" t="s">
        <v>540</v>
      </c>
      <c r="E32" s="45">
        <f t="shared" si="3"/>
        <v>0</v>
      </c>
      <c r="F32" s="45">
        <f>IF(AND('Facility Master'!W13&gt;C31,'Facility Master'!W13&lt;=C32),'Facility Master'!J13,0)</f>
        <v>0</v>
      </c>
      <c r="G32" s="45">
        <f>IFERROR(IF(AND('Facility Master'!X13&lt;&gt;"-",C32&gt;='Facility Master'!X13,C32&lt;='Facility Master'!Y13),MIN(E32+F32,'Facility Master'!J13/'Facility Master'!V13),0),0)</f>
        <v>0</v>
      </c>
      <c r="H32" s="45">
        <f t="shared" si="0"/>
        <v>0</v>
      </c>
      <c r="I32" s="93">
        <f>'Facility Master'!Q13</f>
        <v>9.7500000000000003E-2</v>
      </c>
      <c r="J32" s="94">
        <f t="shared" si="4"/>
        <v>92</v>
      </c>
      <c r="K32" s="45">
        <f t="shared" si="1"/>
        <v>0</v>
      </c>
      <c r="L32" s="45">
        <f t="shared" si="2"/>
        <v>0</v>
      </c>
    </row>
    <row r="33" spans="2:12" ht="15.75" customHeight="1" x14ac:dyDescent="0.3">
      <c r="B33" s="95">
        <v>24</v>
      </c>
      <c r="C33" s="67">
        <v>47483</v>
      </c>
      <c r="D33" s="95" t="s">
        <v>541</v>
      </c>
      <c r="E33" s="60">
        <f t="shared" si="3"/>
        <v>0</v>
      </c>
      <c r="F33" s="60">
        <f>IF(AND('Facility Master'!W13&gt;C32,'Facility Master'!W13&lt;=C33),'Facility Master'!J13,0)</f>
        <v>0</v>
      </c>
      <c r="G33" s="60">
        <f>IFERROR(IF(AND('Facility Master'!X13&lt;&gt;"-",C33&gt;='Facility Master'!X13,C33&lt;='Facility Master'!Y13),MIN(E33+F33,'Facility Master'!J13/'Facility Master'!V13),0),0)</f>
        <v>0</v>
      </c>
      <c r="H33" s="60">
        <f t="shared" si="0"/>
        <v>0</v>
      </c>
      <c r="I33" s="96">
        <f>'Facility Master'!Q13</f>
        <v>9.7500000000000003E-2</v>
      </c>
      <c r="J33" s="97">
        <f t="shared" si="4"/>
        <v>92</v>
      </c>
      <c r="K33" s="60">
        <f t="shared" si="1"/>
        <v>0</v>
      </c>
      <c r="L33" s="60">
        <f t="shared" si="2"/>
        <v>0</v>
      </c>
    </row>
    <row r="34" spans="2:12" ht="15.75" customHeight="1" x14ac:dyDescent="0.3">
      <c r="B34" s="92">
        <v>25</v>
      </c>
      <c r="C34" s="53">
        <v>47573</v>
      </c>
      <c r="D34" s="92" t="s">
        <v>542</v>
      </c>
      <c r="E34" s="45">
        <f t="shared" si="3"/>
        <v>0</v>
      </c>
      <c r="F34" s="45">
        <f>IF(AND('Facility Master'!W13&gt;C33,'Facility Master'!W13&lt;=C34),'Facility Master'!J13,0)</f>
        <v>0</v>
      </c>
      <c r="G34" s="45">
        <f>IFERROR(IF(AND('Facility Master'!X13&lt;&gt;"-",C34&gt;='Facility Master'!X13,C34&lt;='Facility Master'!Y13),MIN(E34+F34,'Facility Master'!J13/'Facility Master'!V13),0),0)</f>
        <v>0</v>
      </c>
      <c r="H34" s="45">
        <f t="shared" si="0"/>
        <v>0</v>
      </c>
      <c r="I34" s="93">
        <f>'Facility Master'!Q13</f>
        <v>9.7500000000000003E-2</v>
      </c>
      <c r="J34" s="94">
        <f t="shared" si="4"/>
        <v>90</v>
      </c>
      <c r="K34" s="45">
        <f t="shared" si="1"/>
        <v>0</v>
      </c>
      <c r="L34" s="45">
        <f t="shared" si="2"/>
        <v>0</v>
      </c>
    </row>
    <row r="35" spans="2:12" ht="15.75" customHeight="1" x14ac:dyDescent="0.3">
      <c r="B35" s="95">
        <v>26</v>
      </c>
      <c r="C35" s="67">
        <v>47664</v>
      </c>
      <c r="D35" s="95" t="s">
        <v>543</v>
      </c>
      <c r="E35" s="60">
        <f t="shared" si="3"/>
        <v>0</v>
      </c>
      <c r="F35" s="60">
        <f>IF(AND('Facility Master'!W13&gt;C34,'Facility Master'!W13&lt;=C35),'Facility Master'!J13,0)</f>
        <v>0</v>
      </c>
      <c r="G35" s="60">
        <f>IFERROR(IF(AND('Facility Master'!X13&lt;&gt;"-",C35&gt;='Facility Master'!X13,C35&lt;='Facility Master'!Y13),MIN(E35+F35,'Facility Master'!J13/'Facility Master'!V13),0),0)</f>
        <v>0</v>
      </c>
      <c r="H35" s="60">
        <f t="shared" si="0"/>
        <v>0</v>
      </c>
      <c r="I35" s="96">
        <f>'Facility Master'!Q13</f>
        <v>9.7500000000000003E-2</v>
      </c>
      <c r="J35" s="97">
        <f t="shared" si="4"/>
        <v>91</v>
      </c>
      <c r="K35" s="60">
        <f t="shared" si="1"/>
        <v>0</v>
      </c>
      <c r="L35" s="60">
        <f t="shared" si="2"/>
        <v>0</v>
      </c>
    </row>
    <row r="36" spans="2:12" ht="15.75" customHeight="1" x14ac:dyDescent="0.3">
      <c r="B36" s="92">
        <v>27</v>
      </c>
      <c r="C36" s="53">
        <v>47756</v>
      </c>
      <c r="D36" s="92" t="s">
        <v>544</v>
      </c>
      <c r="E36" s="45">
        <f t="shared" si="3"/>
        <v>0</v>
      </c>
      <c r="F36" s="45">
        <f>IF(AND('Facility Master'!W13&gt;C35,'Facility Master'!W13&lt;=C36),'Facility Master'!J13,0)</f>
        <v>0</v>
      </c>
      <c r="G36" s="45">
        <f>IFERROR(IF(AND('Facility Master'!X13&lt;&gt;"-",C36&gt;='Facility Master'!X13,C36&lt;='Facility Master'!Y13),MIN(E36+F36,'Facility Master'!J13/'Facility Master'!V13),0),0)</f>
        <v>0</v>
      </c>
      <c r="H36" s="45">
        <f t="shared" si="0"/>
        <v>0</v>
      </c>
      <c r="I36" s="93">
        <f>'Facility Master'!Q13</f>
        <v>9.7500000000000003E-2</v>
      </c>
      <c r="J36" s="94">
        <f t="shared" si="4"/>
        <v>92</v>
      </c>
      <c r="K36" s="45">
        <f t="shared" si="1"/>
        <v>0</v>
      </c>
      <c r="L36" s="45">
        <f t="shared" si="2"/>
        <v>0</v>
      </c>
    </row>
    <row r="37" spans="2:12" ht="15.75" customHeight="1" x14ac:dyDescent="0.3">
      <c r="B37" s="95">
        <v>28</v>
      </c>
      <c r="C37" s="67">
        <v>47848</v>
      </c>
      <c r="D37" s="95" t="s">
        <v>545</v>
      </c>
      <c r="E37" s="60">
        <f t="shared" si="3"/>
        <v>0</v>
      </c>
      <c r="F37" s="60">
        <f>IF(AND('Facility Master'!W13&gt;C36,'Facility Master'!W13&lt;=C37),'Facility Master'!J13,0)</f>
        <v>0</v>
      </c>
      <c r="G37" s="60">
        <f>IFERROR(IF(AND('Facility Master'!X13&lt;&gt;"-",C37&gt;='Facility Master'!X13,C37&lt;='Facility Master'!Y13),MIN(E37+F37,'Facility Master'!J13/'Facility Master'!V13),0),0)</f>
        <v>0</v>
      </c>
      <c r="H37" s="60">
        <f t="shared" si="0"/>
        <v>0</v>
      </c>
      <c r="I37" s="96">
        <f>'Facility Master'!Q13</f>
        <v>9.7500000000000003E-2</v>
      </c>
      <c r="J37" s="97">
        <f t="shared" si="4"/>
        <v>92</v>
      </c>
      <c r="K37" s="60">
        <f t="shared" si="1"/>
        <v>0</v>
      </c>
      <c r="L37" s="60">
        <f t="shared" si="2"/>
        <v>0</v>
      </c>
    </row>
    <row r="38" spans="2:12" ht="15.75" customHeight="1" x14ac:dyDescent="0.3">
      <c r="B38" s="92">
        <v>29</v>
      </c>
      <c r="C38" s="53">
        <v>47938</v>
      </c>
      <c r="D38" s="92" t="s">
        <v>546</v>
      </c>
      <c r="E38" s="45">
        <f t="shared" si="3"/>
        <v>0</v>
      </c>
      <c r="F38" s="45">
        <f>IF(AND('Facility Master'!W13&gt;C37,'Facility Master'!W13&lt;=C38),'Facility Master'!J13,0)</f>
        <v>0</v>
      </c>
      <c r="G38" s="45">
        <f>IFERROR(IF(AND('Facility Master'!X13&lt;&gt;"-",C38&gt;='Facility Master'!X13,C38&lt;='Facility Master'!Y13),MIN(E38+F38,'Facility Master'!J13/'Facility Master'!V13),0),0)</f>
        <v>0</v>
      </c>
      <c r="H38" s="45">
        <f t="shared" si="0"/>
        <v>0</v>
      </c>
      <c r="I38" s="93">
        <f>'Facility Master'!Q13</f>
        <v>9.7500000000000003E-2</v>
      </c>
      <c r="J38" s="94">
        <f t="shared" si="4"/>
        <v>90</v>
      </c>
      <c r="K38" s="45">
        <f t="shared" si="1"/>
        <v>0</v>
      </c>
      <c r="L38" s="45">
        <f t="shared" si="2"/>
        <v>0</v>
      </c>
    </row>
    <row r="39" spans="2:12" ht="15.75" customHeight="1" x14ac:dyDescent="0.3">
      <c r="B39" s="95">
        <v>30</v>
      </c>
      <c r="C39" s="67">
        <v>48029</v>
      </c>
      <c r="D39" s="95" t="s">
        <v>547</v>
      </c>
      <c r="E39" s="60">
        <f t="shared" si="3"/>
        <v>0</v>
      </c>
      <c r="F39" s="60">
        <f>IF(AND('Facility Master'!W13&gt;C38,'Facility Master'!W13&lt;=C39),'Facility Master'!J13,0)</f>
        <v>0</v>
      </c>
      <c r="G39" s="60">
        <f>IFERROR(IF(AND('Facility Master'!X13&lt;&gt;"-",C39&gt;='Facility Master'!X13,C39&lt;='Facility Master'!Y13),MIN(E39+F39,'Facility Master'!J13/'Facility Master'!V13),0),0)</f>
        <v>0</v>
      </c>
      <c r="H39" s="60">
        <f t="shared" si="0"/>
        <v>0</v>
      </c>
      <c r="I39" s="96">
        <f>'Facility Master'!Q13</f>
        <v>9.7500000000000003E-2</v>
      </c>
      <c r="J39" s="97">
        <f t="shared" si="4"/>
        <v>91</v>
      </c>
      <c r="K39" s="60">
        <f t="shared" si="1"/>
        <v>0</v>
      </c>
      <c r="L39" s="60">
        <f t="shared" si="2"/>
        <v>0</v>
      </c>
    </row>
    <row r="40" spans="2:12" ht="15.75" customHeight="1" x14ac:dyDescent="0.3">
      <c r="B40" s="92">
        <v>31</v>
      </c>
      <c r="C40" s="53">
        <v>48121</v>
      </c>
      <c r="D40" s="92" t="s">
        <v>548</v>
      </c>
      <c r="E40" s="45">
        <f t="shared" si="3"/>
        <v>0</v>
      </c>
      <c r="F40" s="45">
        <f>IF(AND('Facility Master'!W13&gt;C39,'Facility Master'!W13&lt;=C40),'Facility Master'!J13,0)</f>
        <v>0</v>
      </c>
      <c r="G40" s="45">
        <f>IFERROR(IF(AND('Facility Master'!X13&lt;&gt;"-",C40&gt;='Facility Master'!X13,C40&lt;='Facility Master'!Y13),MIN(E40+F40,'Facility Master'!J13/'Facility Master'!V13),0),0)</f>
        <v>0</v>
      </c>
      <c r="H40" s="45">
        <f t="shared" si="0"/>
        <v>0</v>
      </c>
      <c r="I40" s="93">
        <f>'Facility Master'!Q13</f>
        <v>9.7500000000000003E-2</v>
      </c>
      <c r="J40" s="94">
        <f t="shared" si="4"/>
        <v>92</v>
      </c>
      <c r="K40" s="45">
        <f t="shared" si="1"/>
        <v>0</v>
      </c>
      <c r="L40" s="45">
        <f t="shared" si="2"/>
        <v>0</v>
      </c>
    </row>
    <row r="41" spans="2:12" ht="15.75" customHeight="1" x14ac:dyDescent="0.3">
      <c r="B41" s="95">
        <v>32</v>
      </c>
      <c r="C41" s="67">
        <v>48213</v>
      </c>
      <c r="D41" s="95" t="s">
        <v>549</v>
      </c>
      <c r="E41" s="60">
        <f t="shared" si="3"/>
        <v>0</v>
      </c>
      <c r="F41" s="60">
        <f>IF(AND('Facility Master'!W13&gt;C40,'Facility Master'!W13&lt;=C41),'Facility Master'!J13,0)</f>
        <v>0</v>
      </c>
      <c r="G41" s="60">
        <f>IFERROR(IF(AND('Facility Master'!X13&lt;&gt;"-",C41&gt;='Facility Master'!X13,C41&lt;='Facility Master'!Y13),MIN(E41+F41,'Facility Master'!J13/'Facility Master'!V13),0),0)</f>
        <v>0</v>
      </c>
      <c r="H41" s="60">
        <f t="shared" si="0"/>
        <v>0</v>
      </c>
      <c r="I41" s="96">
        <f>'Facility Master'!Q13</f>
        <v>9.7500000000000003E-2</v>
      </c>
      <c r="J41" s="97">
        <f t="shared" si="4"/>
        <v>92</v>
      </c>
      <c r="K41" s="60">
        <f t="shared" si="1"/>
        <v>0</v>
      </c>
      <c r="L41" s="60">
        <f t="shared" si="2"/>
        <v>0</v>
      </c>
    </row>
    <row r="42" spans="2:12" ht="15.75" customHeight="1" x14ac:dyDescent="0.3">
      <c r="B42" s="92">
        <v>33</v>
      </c>
      <c r="C42" s="53">
        <v>48304</v>
      </c>
      <c r="D42" s="92" t="s">
        <v>550</v>
      </c>
      <c r="E42" s="45">
        <f t="shared" si="3"/>
        <v>0</v>
      </c>
      <c r="F42" s="45">
        <f>IF(AND('Facility Master'!W13&gt;C41,'Facility Master'!W13&lt;=C42),'Facility Master'!J13,0)</f>
        <v>0</v>
      </c>
      <c r="G42" s="45">
        <f>IFERROR(IF(AND('Facility Master'!X13&lt;&gt;"-",C42&gt;='Facility Master'!X13,C42&lt;='Facility Master'!Y13),MIN(E42+F42,'Facility Master'!J13/'Facility Master'!V13),0),0)</f>
        <v>0</v>
      </c>
      <c r="H42" s="45">
        <f t="shared" ref="H42:H62" si="5">E42+F42-G42</f>
        <v>0</v>
      </c>
      <c r="I42" s="93">
        <f>'Facility Master'!Q13</f>
        <v>9.7500000000000003E-2</v>
      </c>
      <c r="J42" s="94">
        <f t="shared" si="4"/>
        <v>91</v>
      </c>
      <c r="K42" s="45">
        <f t="shared" ref="K42:K62" si="6">IFERROR(E42*I42*J42/DaysInYear,0)</f>
        <v>0</v>
      </c>
      <c r="L42" s="45">
        <f t="shared" ref="L42:L62" si="7">G42+K42</f>
        <v>0</v>
      </c>
    </row>
    <row r="43" spans="2:12" ht="15.75" customHeight="1" x14ac:dyDescent="0.3">
      <c r="B43" s="95">
        <v>34</v>
      </c>
      <c r="C43" s="67">
        <v>48395</v>
      </c>
      <c r="D43" s="95" t="s">
        <v>551</v>
      </c>
      <c r="E43" s="60">
        <f t="shared" ref="E43:E62" si="8">H42</f>
        <v>0</v>
      </c>
      <c r="F43" s="60">
        <f>IF(AND('Facility Master'!W13&gt;C42,'Facility Master'!W13&lt;=C43),'Facility Master'!J13,0)</f>
        <v>0</v>
      </c>
      <c r="G43" s="60">
        <f>IFERROR(IF(AND('Facility Master'!X13&lt;&gt;"-",C43&gt;='Facility Master'!X13,C43&lt;='Facility Master'!Y13),MIN(E43+F43,'Facility Master'!J13/'Facility Master'!V13),0),0)</f>
        <v>0</v>
      </c>
      <c r="H43" s="60">
        <f t="shared" si="5"/>
        <v>0</v>
      </c>
      <c r="I43" s="96">
        <f>'Facility Master'!Q13</f>
        <v>9.7500000000000003E-2</v>
      </c>
      <c r="J43" s="97">
        <f t="shared" ref="J43:J62" si="9">C43-C42</f>
        <v>91</v>
      </c>
      <c r="K43" s="60">
        <f t="shared" si="6"/>
        <v>0</v>
      </c>
      <c r="L43" s="60">
        <f t="shared" si="7"/>
        <v>0</v>
      </c>
    </row>
    <row r="44" spans="2:12" ht="15.75" customHeight="1" x14ac:dyDescent="0.3">
      <c r="B44" s="92">
        <v>35</v>
      </c>
      <c r="C44" s="53">
        <v>48487</v>
      </c>
      <c r="D44" s="92" t="s">
        <v>552</v>
      </c>
      <c r="E44" s="45">
        <f t="shared" si="8"/>
        <v>0</v>
      </c>
      <c r="F44" s="45">
        <f>IF(AND('Facility Master'!W13&gt;C43,'Facility Master'!W13&lt;=C44),'Facility Master'!J13,0)</f>
        <v>0</v>
      </c>
      <c r="G44" s="45">
        <f>IFERROR(IF(AND('Facility Master'!X13&lt;&gt;"-",C44&gt;='Facility Master'!X13,C44&lt;='Facility Master'!Y13),MIN(E44+F44,'Facility Master'!J13/'Facility Master'!V13),0),0)</f>
        <v>0</v>
      </c>
      <c r="H44" s="45">
        <f t="shared" si="5"/>
        <v>0</v>
      </c>
      <c r="I44" s="93">
        <f>'Facility Master'!Q13</f>
        <v>9.7500000000000003E-2</v>
      </c>
      <c r="J44" s="94">
        <f t="shared" si="9"/>
        <v>92</v>
      </c>
      <c r="K44" s="45">
        <f t="shared" si="6"/>
        <v>0</v>
      </c>
      <c r="L44" s="45">
        <f t="shared" si="7"/>
        <v>0</v>
      </c>
    </row>
    <row r="45" spans="2:12" ht="15.75" customHeight="1" x14ac:dyDescent="0.3">
      <c r="B45" s="95">
        <v>36</v>
      </c>
      <c r="C45" s="67">
        <v>48579</v>
      </c>
      <c r="D45" s="95" t="s">
        <v>553</v>
      </c>
      <c r="E45" s="60">
        <f t="shared" si="8"/>
        <v>0</v>
      </c>
      <c r="F45" s="60">
        <f>IF(AND('Facility Master'!W13&gt;C44,'Facility Master'!W13&lt;=C45),'Facility Master'!J13,0)</f>
        <v>0</v>
      </c>
      <c r="G45" s="60">
        <f>IFERROR(IF(AND('Facility Master'!X13&lt;&gt;"-",C45&gt;='Facility Master'!X13,C45&lt;='Facility Master'!Y13),MIN(E45+F45,'Facility Master'!J13/'Facility Master'!V13),0),0)</f>
        <v>0</v>
      </c>
      <c r="H45" s="60">
        <f t="shared" si="5"/>
        <v>0</v>
      </c>
      <c r="I45" s="96">
        <f>'Facility Master'!Q13</f>
        <v>9.7500000000000003E-2</v>
      </c>
      <c r="J45" s="97">
        <f t="shared" si="9"/>
        <v>92</v>
      </c>
      <c r="K45" s="60">
        <f t="shared" si="6"/>
        <v>0</v>
      </c>
      <c r="L45" s="60">
        <f t="shared" si="7"/>
        <v>0</v>
      </c>
    </row>
    <row r="46" spans="2:12" ht="15.75" customHeight="1" x14ac:dyDescent="0.3">
      <c r="B46" s="92">
        <v>37</v>
      </c>
      <c r="C46" s="53">
        <v>48669</v>
      </c>
      <c r="D46" s="92" t="s">
        <v>554</v>
      </c>
      <c r="E46" s="45">
        <f t="shared" si="8"/>
        <v>0</v>
      </c>
      <c r="F46" s="45">
        <f>IF(AND('Facility Master'!W13&gt;C45,'Facility Master'!W13&lt;=C46),'Facility Master'!J13,0)</f>
        <v>0</v>
      </c>
      <c r="G46" s="45">
        <f>IFERROR(IF(AND('Facility Master'!X13&lt;&gt;"-",C46&gt;='Facility Master'!X13,C46&lt;='Facility Master'!Y13),MIN(E46+F46,'Facility Master'!J13/'Facility Master'!V13),0),0)</f>
        <v>0</v>
      </c>
      <c r="H46" s="45">
        <f t="shared" si="5"/>
        <v>0</v>
      </c>
      <c r="I46" s="93">
        <f>'Facility Master'!Q13</f>
        <v>9.7500000000000003E-2</v>
      </c>
      <c r="J46" s="94">
        <f t="shared" si="9"/>
        <v>90</v>
      </c>
      <c r="K46" s="45">
        <f t="shared" si="6"/>
        <v>0</v>
      </c>
      <c r="L46" s="45">
        <f t="shared" si="7"/>
        <v>0</v>
      </c>
    </row>
    <row r="47" spans="2:12" ht="15.75" customHeight="1" x14ac:dyDescent="0.3">
      <c r="B47" s="95">
        <v>38</v>
      </c>
      <c r="C47" s="67">
        <v>48760</v>
      </c>
      <c r="D47" s="95" t="s">
        <v>555</v>
      </c>
      <c r="E47" s="60">
        <f t="shared" si="8"/>
        <v>0</v>
      </c>
      <c r="F47" s="60">
        <f>IF(AND('Facility Master'!W13&gt;C46,'Facility Master'!W13&lt;=C47),'Facility Master'!J13,0)</f>
        <v>0</v>
      </c>
      <c r="G47" s="60">
        <f>IFERROR(IF(AND('Facility Master'!X13&lt;&gt;"-",C47&gt;='Facility Master'!X13,C47&lt;='Facility Master'!Y13),MIN(E47+F47,'Facility Master'!J13/'Facility Master'!V13),0),0)</f>
        <v>0</v>
      </c>
      <c r="H47" s="60">
        <f t="shared" si="5"/>
        <v>0</v>
      </c>
      <c r="I47" s="96">
        <f>'Facility Master'!Q13</f>
        <v>9.7500000000000003E-2</v>
      </c>
      <c r="J47" s="97">
        <f t="shared" si="9"/>
        <v>91</v>
      </c>
      <c r="K47" s="60">
        <f t="shared" si="6"/>
        <v>0</v>
      </c>
      <c r="L47" s="60">
        <f t="shared" si="7"/>
        <v>0</v>
      </c>
    </row>
    <row r="48" spans="2:12" ht="15.75" customHeight="1" x14ac:dyDescent="0.3">
      <c r="B48" s="92">
        <v>39</v>
      </c>
      <c r="C48" s="53">
        <v>48852</v>
      </c>
      <c r="D48" s="92" t="s">
        <v>556</v>
      </c>
      <c r="E48" s="45">
        <f t="shared" si="8"/>
        <v>0</v>
      </c>
      <c r="F48" s="45">
        <f>IF(AND('Facility Master'!W13&gt;C47,'Facility Master'!W13&lt;=C48),'Facility Master'!J13,0)</f>
        <v>0</v>
      </c>
      <c r="G48" s="45">
        <f>IFERROR(IF(AND('Facility Master'!X13&lt;&gt;"-",C48&gt;='Facility Master'!X13,C48&lt;='Facility Master'!Y13),MIN(E48+F48,'Facility Master'!J13/'Facility Master'!V13),0),0)</f>
        <v>0</v>
      </c>
      <c r="H48" s="45">
        <f t="shared" si="5"/>
        <v>0</v>
      </c>
      <c r="I48" s="93">
        <f>'Facility Master'!Q13</f>
        <v>9.7500000000000003E-2</v>
      </c>
      <c r="J48" s="94">
        <f t="shared" si="9"/>
        <v>92</v>
      </c>
      <c r="K48" s="45">
        <f t="shared" si="6"/>
        <v>0</v>
      </c>
      <c r="L48" s="45">
        <f t="shared" si="7"/>
        <v>0</v>
      </c>
    </row>
    <row r="49" spans="2:12" ht="15.75" customHeight="1" x14ac:dyDescent="0.3">
      <c r="B49" s="95">
        <v>40</v>
      </c>
      <c r="C49" s="67">
        <v>48944</v>
      </c>
      <c r="D49" s="95" t="s">
        <v>557</v>
      </c>
      <c r="E49" s="60">
        <f t="shared" si="8"/>
        <v>0</v>
      </c>
      <c r="F49" s="60">
        <f>IF(AND('Facility Master'!W13&gt;C48,'Facility Master'!W13&lt;=C49),'Facility Master'!J13,0)</f>
        <v>0</v>
      </c>
      <c r="G49" s="60">
        <f>IFERROR(IF(AND('Facility Master'!X13&lt;&gt;"-",C49&gt;='Facility Master'!X13,C49&lt;='Facility Master'!Y13),MIN(E49+F49,'Facility Master'!J13/'Facility Master'!V13),0),0)</f>
        <v>0</v>
      </c>
      <c r="H49" s="60">
        <f t="shared" si="5"/>
        <v>0</v>
      </c>
      <c r="I49" s="96">
        <f>'Facility Master'!Q13</f>
        <v>9.7500000000000003E-2</v>
      </c>
      <c r="J49" s="97">
        <f t="shared" si="9"/>
        <v>92</v>
      </c>
      <c r="K49" s="60">
        <f t="shared" si="6"/>
        <v>0</v>
      </c>
      <c r="L49" s="60">
        <f t="shared" si="7"/>
        <v>0</v>
      </c>
    </row>
    <row r="50" spans="2:12" ht="15.75" customHeight="1" x14ac:dyDescent="0.3">
      <c r="B50" s="92">
        <v>41</v>
      </c>
      <c r="C50" s="53">
        <v>49034</v>
      </c>
      <c r="D50" s="92" t="s">
        <v>558</v>
      </c>
      <c r="E50" s="45">
        <f t="shared" si="8"/>
        <v>0</v>
      </c>
      <c r="F50" s="45">
        <f>IF(AND('Facility Master'!W13&gt;C49,'Facility Master'!W13&lt;=C50),'Facility Master'!J13,0)</f>
        <v>0</v>
      </c>
      <c r="G50" s="45">
        <f>IFERROR(IF(AND('Facility Master'!X13&lt;&gt;"-",C50&gt;='Facility Master'!X13,C50&lt;='Facility Master'!Y13),MIN(E50+F50,'Facility Master'!J13/'Facility Master'!V13),0),0)</f>
        <v>0</v>
      </c>
      <c r="H50" s="45">
        <f t="shared" si="5"/>
        <v>0</v>
      </c>
      <c r="I50" s="93">
        <f>'Facility Master'!Q13</f>
        <v>9.7500000000000003E-2</v>
      </c>
      <c r="J50" s="94">
        <f t="shared" si="9"/>
        <v>90</v>
      </c>
      <c r="K50" s="45">
        <f t="shared" si="6"/>
        <v>0</v>
      </c>
      <c r="L50" s="45">
        <f t="shared" si="7"/>
        <v>0</v>
      </c>
    </row>
    <row r="51" spans="2:12" ht="15.75" customHeight="1" x14ac:dyDescent="0.3">
      <c r="B51" s="95">
        <v>42</v>
      </c>
      <c r="C51" s="67">
        <v>49125</v>
      </c>
      <c r="D51" s="95" t="s">
        <v>559</v>
      </c>
      <c r="E51" s="60">
        <f t="shared" si="8"/>
        <v>0</v>
      </c>
      <c r="F51" s="60">
        <f>IF(AND('Facility Master'!W13&gt;C50,'Facility Master'!W13&lt;=C51),'Facility Master'!J13,0)</f>
        <v>0</v>
      </c>
      <c r="G51" s="60">
        <f>IFERROR(IF(AND('Facility Master'!X13&lt;&gt;"-",C51&gt;='Facility Master'!X13,C51&lt;='Facility Master'!Y13),MIN(E51+F51,'Facility Master'!J13/'Facility Master'!V13),0),0)</f>
        <v>0</v>
      </c>
      <c r="H51" s="60">
        <f t="shared" si="5"/>
        <v>0</v>
      </c>
      <c r="I51" s="96">
        <f>'Facility Master'!Q13</f>
        <v>9.7500000000000003E-2</v>
      </c>
      <c r="J51" s="97">
        <f t="shared" si="9"/>
        <v>91</v>
      </c>
      <c r="K51" s="60">
        <f t="shared" si="6"/>
        <v>0</v>
      </c>
      <c r="L51" s="60">
        <f t="shared" si="7"/>
        <v>0</v>
      </c>
    </row>
    <row r="52" spans="2:12" ht="15.75" customHeight="1" x14ac:dyDescent="0.3">
      <c r="B52" s="92">
        <v>43</v>
      </c>
      <c r="C52" s="53">
        <v>49217</v>
      </c>
      <c r="D52" s="92" t="s">
        <v>560</v>
      </c>
      <c r="E52" s="45">
        <f t="shared" si="8"/>
        <v>0</v>
      </c>
      <c r="F52" s="45">
        <f>IF(AND('Facility Master'!W13&gt;C51,'Facility Master'!W13&lt;=C52),'Facility Master'!J13,0)</f>
        <v>0</v>
      </c>
      <c r="G52" s="45">
        <f>IFERROR(IF(AND('Facility Master'!X13&lt;&gt;"-",C52&gt;='Facility Master'!X13,C52&lt;='Facility Master'!Y13),MIN(E52+F52,'Facility Master'!J13/'Facility Master'!V13),0),0)</f>
        <v>0</v>
      </c>
      <c r="H52" s="45">
        <f t="shared" si="5"/>
        <v>0</v>
      </c>
      <c r="I52" s="93">
        <f>'Facility Master'!Q13</f>
        <v>9.7500000000000003E-2</v>
      </c>
      <c r="J52" s="94">
        <f t="shared" si="9"/>
        <v>92</v>
      </c>
      <c r="K52" s="45">
        <f t="shared" si="6"/>
        <v>0</v>
      </c>
      <c r="L52" s="45">
        <f t="shared" si="7"/>
        <v>0</v>
      </c>
    </row>
    <row r="53" spans="2:12" ht="15.75" customHeight="1" x14ac:dyDescent="0.3">
      <c r="B53" s="95">
        <v>44</v>
      </c>
      <c r="C53" s="67">
        <v>49309</v>
      </c>
      <c r="D53" s="95" t="s">
        <v>561</v>
      </c>
      <c r="E53" s="60">
        <f t="shared" si="8"/>
        <v>0</v>
      </c>
      <c r="F53" s="60">
        <f>IF(AND('Facility Master'!W13&gt;C52,'Facility Master'!W13&lt;=C53),'Facility Master'!J13,0)</f>
        <v>0</v>
      </c>
      <c r="G53" s="60">
        <f>IFERROR(IF(AND('Facility Master'!X13&lt;&gt;"-",C53&gt;='Facility Master'!X13,C53&lt;='Facility Master'!Y13),MIN(E53+F53,'Facility Master'!J13/'Facility Master'!V13),0),0)</f>
        <v>0</v>
      </c>
      <c r="H53" s="60">
        <f t="shared" si="5"/>
        <v>0</v>
      </c>
      <c r="I53" s="96">
        <f>'Facility Master'!Q13</f>
        <v>9.7500000000000003E-2</v>
      </c>
      <c r="J53" s="97">
        <f t="shared" si="9"/>
        <v>92</v>
      </c>
      <c r="K53" s="60">
        <f t="shared" si="6"/>
        <v>0</v>
      </c>
      <c r="L53" s="60">
        <f t="shared" si="7"/>
        <v>0</v>
      </c>
    </row>
    <row r="54" spans="2:12" ht="15.75" customHeight="1" x14ac:dyDescent="0.3">
      <c r="B54" s="92">
        <v>45</v>
      </c>
      <c r="C54" s="53">
        <v>49399</v>
      </c>
      <c r="D54" s="92" t="s">
        <v>562</v>
      </c>
      <c r="E54" s="45">
        <f t="shared" si="8"/>
        <v>0</v>
      </c>
      <c r="F54" s="45">
        <f>IF(AND('Facility Master'!W13&gt;C53,'Facility Master'!W13&lt;=C54),'Facility Master'!J13,0)</f>
        <v>0</v>
      </c>
      <c r="G54" s="45">
        <f>IFERROR(IF(AND('Facility Master'!X13&lt;&gt;"-",C54&gt;='Facility Master'!X13,C54&lt;='Facility Master'!Y13),MIN(E54+F54,'Facility Master'!J13/'Facility Master'!V13),0),0)</f>
        <v>0</v>
      </c>
      <c r="H54" s="45">
        <f t="shared" si="5"/>
        <v>0</v>
      </c>
      <c r="I54" s="93">
        <f>'Facility Master'!Q13</f>
        <v>9.7500000000000003E-2</v>
      </c>
      <c r="J54" s="94">
        <f t="shared" si="9"/>
        <v>90</v>
      </c>
      <c r="K54" s="45">
        <f t="shared" si="6"/>
        <v>0</v>
      </c>
      <c r="L54" s="45">
        <f t="shared" si="7"/>
        <v>0</v>
      </c>
    </row>
    <row r="55" spans="2:12" ht="15.75" customHeight="1" x14ac:dyDescent="0.3">
      <c r="B55" s="95">
        <v>46</v>
      </c>
      <c r="C55" s="67">
        <v>49490</v>
      </c>
      <c r="D55" s="95" t="s">
        <v>563</v>
      </c>
      <c r="E55" s="60">
        <f t="shared" si="8"/>
        <v>0</v>
      </c>
      <c r="F55" s="60">
        <f>IF(AND('Facility Master'!W13&gt;C54,'Facility Master'!W13&lt;=C55),'Facility Master'!J13,0)</f>
        <v>0</v>
      </c>
      <c r="G55" s="60">
        <f>IFERROR(IF(AND('Facility Master'!X13&lt;&gt;"-",C55&gt;='Facility Master'!X13,C55&lt;='Facility Master'!Y13),MIN(E55+F55,'Facility Master'!J13/'Facility Master'!V13),0),0)</f>
        <v>0</v>
      </c>
      <c r="H55" s="60">
        <f t="shared" si="5"/>
        <v>0</v>
      </c>
      <c r="I55" s="96">
        <f>'Facility Master'!Q13</f>
        <v>9.7500000000000003E-2</v>
      </c>
      <c r="J55" s="97">
        <f t="shared" si="9"/>
        <v>91</v>
      </c>
      <c r="K55" s="60">
        <f t="shared" si="6"/>
        <v>0</v>
      </c>
      <c r="L55" s="60">
        <f t="shared" si="7"/>
        <v>0</v>
      </c>
    </row>
    <row r="56" spans="2:12" ht="15.75" customHeight="1" x14ac:dyDescent="0.3">
      <c r="B56" s="92">
        <v>47</v>
      </c>
      <c r="C56" s="53">
        <v>49582</v>
      </c>
      <c r="D56" s="92" t="s">
        <v>564</v>
      </c>
      <c r="E56" s="45">
        <f t="shared" si="8"/>
        <v>0</v>
      </c>
      <c r="F56" s="45">
        <f>IF(AND('Facility Master'!W13&gt;C55,'Facility Master'!W13&lt;=C56),'Facility Master'!J13,0)</f>
        <v>0</v>
      </c>
      <c r="G56" s="45">
        <f>IFERROR(IF(AND('Facility Master'!X13&lt;&gt;"-",C56&gt;='Facility Master'!X13,C56&lt;='Facility Master'!Y13),MIN(E56+F56,'Facility Master'!J13/'Facility Master'!V13),0),0)</f>
        <v>0</v>
      </c>
      <c r="H56" s="45">
        <f t="shared" si="5"/>
        <v>0</v>
      </c>
      <c r="I56" s="93">
        <f>'Facility Master'!Q13</f>
        <v>9.7500000000000003E-2</v>
      </c>
      <c r="J56" s="94">
        <f t="shared" si="9"/>
        <v>92</v>
      </c>
      <c r="K56" s="45">
        <f t="shared" si="6"/>
        <v>0</v>
      </c>
      <c r="L56" s="45">
        <f t="shared" si="7"/>
        <v>0</v>
      </c>
    </row>
    <row r="57" spans="2:12" ht="15.75" customHeight="1" x14ac:dyDescent="0.3">
      <c r="B57" s="95">
        <v>48</v>
      </c>
      <c r="C57" s="67">
        <v>49674</v>
      </c>
      <c r="D57" s="95" t="s">
        <v>565</v>
      </c>
      <c r="E57" s="60">
        <f t="shared" si="8"/>
        <v>0</v>
      </c>
      <c r="F57" s="60">
        <f>IF(AND('Facility Master'!W13&gt;C56,'Facility Master'!W13&lt;=C57),'Facility Master'!J13,0)</f>
        <v>0</v>
      </c>
      <c r="G57" s="60">
        <f>IFERROR(IF(AND('Facility Master'!X13&lt;&gt;"-",C57&gt;='Facility Master'!X13,C57&lt;='Facility Master'!Y13),MIN(E57+F57,'Facility Master'!J13/'Facility Master'!V13),0),0)</f>
        <v>0</v>
      </c>
      <c r="H57" s="60">
        <f t="shared" si="5"/>
        <v>0</v>
      </c>
      <c r="I57" s="96">
        <f>'Facility Master'!Q13</f>
        <v>9.7500000000000003E-2</v>
      </c>
      <c r="J57" s="97">
        <f t="shared" si="9"/>
        <v>92</v>
      </c>
      <c r="K57" s="60">
        <f t="shared" si="6"/>
        <v>0</v>
      </c>
      <c r="L57" s="60">
        <f t="shared" si="7"/>
        <v>0</v>
      </c>
    </row>
    <row r="58" spans="2:12" ht="15.75" customHeight="1" x14ac:dyDescent="0.3">
      <c r="B58" s="92">
        <v>49</v>
      </c>
      <c r="C58" s="53">
        <v>49765</v>
      </c>
      <c r="D58" s="92" t="s">
        <v>566</v>
      </c>
      <c r="E58" s="45">
        <f t="shared" si="8"/>
        <v>0</v>
      </c>
      <c r="F58" s="45">
        <f>IF(AND('Facility Master'!W13&gt;C57,'Facility Master'!W13&lt;=C58),'Facility Master'!J13,0)</f>
        <v>0</v>
      </c>
      <c r="G58" s="45">
        <f>IFERROR(IF(AND('Facility Master'!X13&lt;&gt;"-",C58&gt;='Facility Master'!X13,C58&lt;='Facility Master'!Y13),MIN(E58+F58,'Facility Master'!J13/'Facility Master'!V13),0),0)</f>
        <v>0</v>
      </c>
      <c r="H58" s="45">
        <f t="shared" si="5"/>
        <v>0</v>
      </c>
      <c r="I58" s="93">
        <f>'Facility Master'!Q13</f>
        <v>9.7500000000000003E-2</v>
      </c>
      <c r="J58" s="94">
        <f t="shared" si="9"/>
        <v>91</v>
      </c>
      <c r="K58" s="45">
        <f t="shared" si="6"/>
        <v>0</v>
      </c>
      <c r="L58" s="45">
        <f t="shared" si="7"/>
        <v>0</v>
      </c>
    </row>
    <row r="59" spans="2:12" ht="15.75" customHeight="1" x14ac:dyDescent="0.3">
      <c r="B59" s="95">
        <v>50</v>
      </c>
      <c r="C59" s="67">
        <v>49856</v>
      </c>
      <c r="D59" s="95" t="s">
        <v>567</v>
      </c>
      <c r="E59" s="60">
        <f t="shared" si="8"/>
        <v>0</v>
      </c>
      <c r="F59" s="60">
        <f>IF(AND('Facility Master'!W13&gt;C58,'Facility Master'!W13&lt;=C59),'Facility Master'!J13,0)</f>
        <v>0</v>
      </c>
      <c r="G59" s="60">
        <f>IFERROR(IF(AND('Facility Master'!X13&lt;&gt;"-",C59&gt;='Facility Master'!X13,C59&lt;='Facility Master'!Y13),MIN(E59+F59,'Facility Master'!J13/'Facility Master'!V13),0),0)</f>
        <v>0</v>
      </c>
      <c r="H59" s="60">
        <f t="shared" si="5"/>
        <v>0</v>
      </c>
      <c r="I59" s="96">
        <f>'Facility Master'!Q13</f>
        <v>9.7500000000000003E-2</v>
      </c>
      <c r="J59" s="97">
        <f t="shared" si="9"/>
        <v>91</v>
      </c>
      <c r="K59" s="60">
        <f t="shared" si="6"/>
        <v>0</v>
      </c>
      <c r="L59" s="60">
        <f t="shared" si="7"/>
        <v>0</v>
      </c>
    </row>
    <row r="60" spans="2:12" ht="15.75" customHeight="1" x14ac:dyDescent="0.3">
      <c r="B60" s="92">
        <v>51</v>
      </c>
      <c r="C60" s="53">
        <v>49948</v>
      </c>
      <c r="D60" s="92" t="s">
        <v>568</v>
      </c>
      <c r="E60" s="45">
        <f t="shared" si="8"/>
        <v>0</v>
      </c>
      <c r="F60" s="45">
        <f>IF(AND('Facility Master'!W13&gt;C59,'Facility Master'!W13&lt;=C60),'Facility Master'!J13,0)</f>
        <v>0</v>
      </c>
      <c r="G60" s="45">
        <f>IFERROR(IF(AND('Facility Master'!X13&lt;&gt;"-",C60&gt;='Facility Master'!X13,C60&lt;='Facility Master'!Y13),MIN(E60+F60,'Facility Master'!J13/'Facility Master'!V13),0),0)</f>
        <v>0</v>
      </c>
      <c r="H60" s="45">
        <f t="shared" si="5"/>
        <v>0</v>
      </c>
      <c r="I60" s="93">
        <f>'Facility Master'!Q13</f>
        <v>9.7500000000000003E-2</v>
      </c>
      <c r="J60" s="94">
        <f t="shared" si="9"/>
        <v>92</v>
      </c>
      <c r="K60" s="45">
        <f t="shared" si="6"/>
        <v>0</v>
      </c>
      <c r="L60" s="45">
        <f t="shared" si="7"/>
        <v>0</v>
      </c>
    </row>
    <row r="61" spans="2:12" ht="15.75" customHeight="1" x14ac:dyDescent="0.3">
      <c r="B61" s="95">
        <v>52</v>
      </c>
      <c r="C61" s="67">
        <v>50040</v>
      </c>
      <c r="D61" s="95" t="s">
        <v>569</v>
      </c>
      <c r="E61" s="60">
        <f t="shared" si="8"/>
        <v>0</v>
      </c>
      <c r="F61" s="60">
        <f>IF(AND('Facility Master'!W13&gt;C60,'Facility Master'!W13&lt;=C61),'Facility Master'!J13,0)</f>
        <v>0</v>
      </c>
      <c r="G61" s="60">
        <f>IFERROR(IF(AND('Facility Master'!X13&lt;&gt;"-",C61&gt;='Facility Master'!X13,C61&lt;='Facility Master'!Y13),MIN(E61+F61,'Facility Master'!J13/'Facility Master'!V13),0),0)</f>
        <v>0</v>
      </c>
      <c r="H61" s="60">
        <f t="shared" si="5"/>
        <v>0</v>
      </c>
      <c r="I61" s="96">
        <f>'Facility Master'!Q13</f>
        <v>9.7500000000000003E-2</v>
      </c>
      <c r="J61" s="97">
        <f t="shared" si="9"/>
        <v>92</v>
      </c>
      <c r="K61" s="60">
        <f t="shared" si="6"/>
        <v>0</v>
      </c>
      <c r="L61" s="60">
        <f t="shared" si="7"/>
        <v>0</v>
      </c>
    </row>
    <row r="62" spans="2:12" ht="15.75" customHeight="1" x14ac:dyDescent="0.3">
      <c r="B62" s="92">
        <v>53</v>
      </c>
      <c r="C62" s="53">
        <v>50130</v>
      </c>
      <c r="D62" s="92" t="s">
        <v>570</v>
      </c>
      <c r="E62" s="45">
        <f t="shared" si="8"/>
        <v>0</v>
      </c>
      <c r="F62" s="45">
        <f>IF(AND('Facility Master'!W13&gt;C61,'Facility Master'!W13&lt;=C62),'Facility Master'!J13,0)</f>
        <v>0</v>
      </c>
      <c r="G62" s="45">
        <f>IFERROR(IF(AND('Facility Master'!X13&lt;&gt;"-",C62&gt;='Facility Master'!X13,C62&lt;='Facility Master'!Y13),MIN(E62+F62,'Facility Master'!J13/'Facility Master'!V13),0),0)</f>
        <v>0</v>
      </c>
      <c r="H62" s="45">
        <f t="shared" si="5"/>
        <v>0</v>
      </c>
      <c r="I62" s="93">
        <f>'Facility Master'!Q13</f>
        <v>9.7500000000000003E-2</v>
      </c>
      <c r="J62" s="94">
        <f t="shared" si="9"/>
        <v>90</v>
      </c>
      <c r="K62" s="45">
        <f t="shared" si="6"/>
        <v>0</v>
      </c>
      <c r="L62" s="45">
        <f t="shared" si="7"/>
        <v>0</v>
      </c>
    </row>
    <row r="63" spans="2:12" ht="19.5" customHeight="1" x14ac:dyDescent="0.3">
      <c r="B63" s="319" t="s">
        <v>419</v>
      </c>
      <c r="C63" s="319"/>
      <c r="D63" s="319"/>
      <c r="E63" s="71"/>
      <c r="F63" s="72">
        <f>SUM(F10:F62)</f>
        <v>200</v>
      </c>
      <c r="G63" s="72">
        <f>SUM(G10:G62)</f>
        <v>199.99999999999997</v>
      </c>
      <c r="H63" s="71"/>
      <c r="I63" s="71"/>
      <c r="J63" s="71"/>
      <c r="K63" s="72">
        <f>SUM(K10:K62)</f>
        <v>65.850342465753414</v>
      </c>
      <c r="L63" s="72">
        <f>SUM(L10:L62)</f>
        <v>265.8503424657535</v>
      </c>
    </row>
    <row r="64" spans="2:12" ht="21.75" customHeight="1" x14ac:dyDescent="0.3">
      <c r="B64" s="320" t="s">
        <v>571</v>
      </c>
      <c r="C64" s="320"/>
      <c r="D64" s="320"/>
      <c r="E64" s="98" t="s">
        <v>572</v>
      </c>
      <c r="F64" s="28">
        <f>SUMIFS(G10:G62,C10:C62,"&lt;="&amp;AsOfDate)</f>
        <v>16.666666666666668</v>
      </c>
      <c r="G64" s="98" t="s">
        <v>573</v>
      </c>
      <c r="H64" s="28">
        <f>'Facility Master'!J13-F64</f>
        <v>183.33333333333334</v>
      </c>
    </row>
    <row r="66" spans="2:12" s="126" customFormat="1" ht="7.95" customHeight="1" x14ac:dyDescent="0.3"/>
    <row r="67" spans="2:12" ht="27.75" customHeight="1" x14ac:dyDescent="0.3">
      <c r="B67" s="331" t="s">
        <v>574</v>
      </c>
      <c r="C67" s="331"/>
      <c r="D67" s="331"/>
      <c r="E67" s="331"/>
      <c r="F67" s="331"/>
      <c r="G67" s="331"/>
      <c r="H67" s="331"/>
      <c r="I67" s="331"/>
      <c r="J67" s="331"/>
      <c r="K67" s="331"/>
      <c r="L67" s="331"/>
    </row>
    <row r="68" spans="2:12" ht="15" customHeight="1" x14ac:dyDescent="0.3">
      <c r="B68" s="328" t="s">
        <v>501</v>
      </c>
      <c r="C68" s="328" t="s">
        <v>502</v>
      </c>
      <c r="D68" s="328" t="s">
        <v>503</v>
      </c>
      <c r="E68" s="328" t="s">
        <v>504</v>
      </c>
      <c r="F68" s="328" t="s">
        <v>505</v>
      </c>
      <c r="G68" s="328" t="s">
        <v>506</v>
      </c>
      <c r="H68" s="328" t="s">
        <v>507</v>
      </c>
      <c r="I68" s="328" t="s">
        <v>508</v>
      </c>
      <c r="J68" s="330"/>
      <c r="K68" s="330"/>
      <c r="L68" s="330"/>
    </row>
    <row r="69" spans="2:12" ht="15" customHeight="1" x14ac:dyDescent="0.3">
      <c r="B69" s="88">
        <f>'Facility Master'!J25</f>
        <v>320.7</v>
      </c>
      <c r="C69" s="89">
        <f>'Facility Master'!W25</f>
        <v>45642</v>
      </c>
      <c r="D69" s="90">
        <f>'Facility Master'!S25</f>
        <v>0</v>
      </c>
      <c r="E69" s="89">
        <f>'Facility Master'!X25</f>
        <v>45747</v>
      </c>
      <c r="F69" s="89">
        <f>'Facility Master'!Y25</f>
        <v>49948</v>
      </c>
      <c r="G69" s="90">
        <f>'Facility Master'!V25</f>
        <v>47</v>
      </c>
      <c r="H69" s="88">
        <f>'Facility Master'!J25/'Facility Master'!V25</f>
        <v>6.823404255319149</v>
      </c>
      <c r="I69" s="91">
        <f>'Facility Master'!Q25</f>
        <v>7.6999999999999999E-2</v>
      </c>
    </row>
    <row r="71" spans="2:12" ht="36" customHeight="1" x14ac:dyDescent="0.3">
      <c r="B71" s="26" t="s">
        <v>422</v>
      </c>
      <c r="C71" s="26" t="s">
        <v>509</v>
      </c>
      <c r="D71" s="26" t="s">
        <v>510</v>
      </c>
      <c r="E71" s="26" t="s">
        <v>511</v>
      </c>
      <c r="F71" s="26" t="s">
        <v>502</v>
      </c>
      <c r="G71" s="26" t="s">
        <v>512</v>
      </c>
      <c r="H71" s="26" t="s">
        <v>513</v>
      </c>
      <c r="I71" s="26" t="s">
        <v>514</v>
      </c>
      <c r="J71" s="26" t="s">
        <v>515</v>
      </c>
      <c r="K71" s="26" t="s">
        <v>516</v>
      </c>
      <c r="L71" s="26" t="s">
        <v>517</v>
      </c>
    </row>
    <row r="72" spans="2:12" ht="15.75" customHeight="1" x14ac:dyDescent="0.3">
      <c r="B72" s="92">
        <v>1</v>
      </c>
      <c r="C72" s="53">
        <v>45382</v>
      </c>
      <c r="D72" s="92" t="s">
        <v>518</v>
      </c>
      <c r="E72" s="45">
        <v>0</v>
      </c>
      <c r="F72" s="45">
        <f>IF(C72&gt;='Facility Master'!W25,'Facility Master'!J25,0)</f>
        <v>0</v>
      </c>
      <c r="G72" s="45">
        <f>IFERROR(IF(AND('Facility Master'!X25&lt;&gt;"-",C72&gt;='Facility Master'!X25,C72&lt;='Facility Master'!Y25),MIN(E72+F72,'Facility Master'!J25/'Facility Master'!V25),0),0)</f>
        <v>0</v>
      </c>
      <c r="H72" s="45">
        <f t="shared" ref="H72:H103" si="10">E72+F72-G72</f>
        <v>0</v>
      </c>
      <c r="I72" s="93">
        <f>'Facility Master'!Q25</f>
        <v>7.6999999999999999E-2</v>
      </c>
      <c r="J72" s="94">
        <f>IF(AND(E72=0,F72=0),0,IF('Facility Master'!W25&gt;=C72,0,C72-MAX('Facility Master'!W25,EDATE(C72,-3))))</f>
        <v>0</v>
      </c>
      <c r="K72" s="45">
        <f t="shared" ref="K72:K103" si="11">IFERROR(E72*I72*J72/DaysInYear,0)</f>
        <v>0</v>
      </c>
      <c r="L72" s="45">
        <f t="shared" ref="L72:L103" si="12">G72+K72</f>
        <v>0</v>
      </c>
    </row>
    <row r="73" spans="2:12" ht="15.75" customHeight="1" x14ac:dyDescent="0.3">
      <c r="B73" s="95">
        <v>2</v>
      </c>
      <c r="C73" s="67">
        <v>45473</v>
      </c>
      <c r="D73" s="95" t="s">
        <v>519</v>
      </c>
      <c r="E73" s="60">
        <f t="shared" ref="E73:E104" si="13">H72</f>
        <v>0</v>
      </c>
      <c r="F73" s="60">
        <f>IF(AND('Facility Master'!W25&gt;C72,'Facility Master'!W25&lt;=C73),'Facility Master'!J25,0)</f>
        <v>0</v>
      </c>
      <c r="G73" s="60">
        <f>IFERROR(IF(AND('Facility Master'!X25&lt;&gt;"-",C73&gt;='Facility Master'!X25,C73&lt;='Facility Master'!Y25),MIN(E73+F73,'Facility Master'!J25/'Facility Master'!V25),0),0)</f>
        <v>0</v>
      </c>
      <c r="H73" s="60">
        <f t="shared" si="10"/>
        <v>0</v>
      </c>
      <c r="I73" s="96">
        <f>'Facility Master'!Q25</f>
        <v>7.6999999999999999E-2</v>
      </c>
      <c r="J73" s="97">
        <f t="shared" ref="J73:J104" si="14">C73-C72</f>
        <v>91</v>
      </c>
      <c r="K73" s="60">
        <f t="shared" si="11"/>
        <v>0</v>
      </c>
      <c r="L73" s="60">
        <f t="shared" si="12"/>
        <v>0</v>
      </c>
    </row>
    <row r="74" spans="2:12" ht="15.75" customHeight="1" x14ac:dyDescent="0.3">
      <c r="B74" s="92">
        <v>3</v>
      </c>
      <c r="C74" s="53">
        <v>45565</v>
      </c>
      <c r="D74" s="92" t="s">
        <v>520</v>
      </c>
      <c r="E74" s="45">
        <f t="shared" si="13"/>
        <v>0</v>
      </c>
      <c r="F74" s="45">
        <f>IF(AND('Facility Master'!W25&gt;C73,'Facility Master'!W25&lt;=C74),'Facility Master'!J25,0)</f>
        <v>0</v>
      </c>
      <c r="G74" s="45">
        <f>IFERROR(IF(AND('Facility Master'!X25&lt;&gt;"-",C74&gt;='Facility Master'!X25,C74&lt;='Facility Master'!Y25),MIN(E74+F74,'Facility Master'!J25/'Facility Master'!V25),0),0)</f>
        <v>0</v>
      </c>
      <c r="H74" s="45">
        <f t="shared" si="10"/>
        <v>0</v>
      </c>
      <c r="I74" s="93">
        <f>'Facility Master'!Q25</f>
        <v>7.6999999999999999E-2</v>
      </c>
      <c r="J74" s="94">
        <f t="shared" si="14"/>
        <v>92</v>
      </c>
      <c r="K74" s="45">
        <f t="shared" si="11"/>
        <v>0</v>
      </c>
      <c r="L74" s="45">
        <f t="shared" si="12"/>
        <v>0</v>
      </c>
    </row>
    <row r="75" spans="2:12" ht="15.75" customHeight="1" x14ac:dyDescent="0.3">
      <c r="B75" s="95">
        <v>4</v>
      </c>
      <c r="C75" s="67">
        <v>45657</v>
      </c>
      <c r="D75" s="95" t="s">
        <v>521</v>
      </c>
      <c r="E75" s="60">
        <f t="shared" si="13"/>
        <v>0</v>
      </c>
      <c r="F75" s="60">
        <f>IF(AND('Facility Master'!W25&gt;C74,'Facility Master'!W25&lt;=C75),'Facility Master'!J25,0)</f>
        <v>320.7</v>
      </c>
      <c r="G75" s="60">
        <f>IFERROR(IF(AND('Facility Master'!X25&lt;&gt;"-",C75&gt;='Facility Master'!X25,C75&lt;='Facility Master'!Y25),MIN(E75+F75,'Facility Master'!J25/'Facility Master'!V25),0),0)</f>
        <v>0</v>
      </c>
      <c r="H75" s="60">
        <f t="shared" si="10"/>
        <v>320.7</v>
      </c>
      <c r="I75" s="96">
        <f>'Facility Master'!Q25</f>
        <v>7.6999999999999999E-2</v>
      </c>
      <c r="J75" s="97">
        <f t="shared" si="14"/>
        <v>92</v>
      </c>
      <c r="K75" s="60">
        <f t="shared" si="11"/>
        <v>0</v>
      </c>
      <c r="L75" s="60">
        <f t="shared" si="12"/>
        <v>0</v>
      </c>
    </row>
    <row r="76" spans="2:12" ht="15.75" customHeight="1" x14ac:dyDescent="0.3">
      <c r="B76" s="92">
        <v>5</v>
      </c>
      <c r="C76" s="53">
        <v>45747</v>
      </c>
      <c r="D76" s="92" t="s">
        <v>522</v>
      </c>
      <c r="E76" s="45">
        <f t="shared" si="13"/>
        <v>320.7</v>
      </c>
      <c r="F76" s="45">
        <f>IF(AND('Facility Master'!W25&gt;C75,'Facility Master'!W25&lt;=C76),'Facility Master'!J25,0)</f>
        <v>0</v>
      </c>
      <c r="G76" s="45">
        <f>IFERROR(IF(AND('Facility Master'!X25&lt;&gt;"-",C76&gt;='Facility Master'!X25,C76&lt;='Facility Master'!Y25),MIN(E76+F76,'Facility Master'!J25/'Facility Master'!V25),0),0)</f>
        <v>6.823404255319149</v>
      </c>
      <c r="H76" s="45">
        <f t="shared" si="10"/>
        <v>313.87659574468086</v>
      </c>
      <c r="I76" s="93">
        <f>'Facility Master'!Q25</f>
        <v>7.6999999999999999E-2</v>
      </c>
      <c r="J76" s="94">
        <f t="shared" si="14"/>
        <v>90</v>
      </c>
      <c r="K76" s="45">
        <f t="shared" si="11"/>
        <v>6.0889068493150686</v>
      </c>
      <c r="L76" s="45">
        <f t="shared" si="12"/>
        <v>12.912311104634217</v>
      </c>
    </row>
    <row r="77" spans="2:12" ht="15.75" customHeight="1" x14ac:dyDescent="0.3">
      <c r="B77" s="95">
        <v>6</v>
      </c>
      <c r="C77" s="67">
        <v>45838</v>
      </c>
      <c r="D77" s="95" t="s">
        <v>523</v>
      </c>
      <c r="E77" s="60">
        <f t="shared" si="13"/>
        <v>313.87659574468086</v>
      </c>
      <c r="F77" s="60">
        <f>IF(AND('Facility Master'!W25&gt;C76,'Facility Master'!W25&lt;=C77),'Facility Master'!J25,0)</f>
        <v>0</v>
      </c>
      <c r="G77" s="60">
        <f>IFERROR(IF(AND('Facility Master'!X25&lt;&gt;"-",C77&gt;='Facility Master'!X25,C77&lt;='Facility Master'!Y25),MIN(E77+F77,'Facility Master'!J25/'Facility Master'!V25),0),0)</f>
        <v>6.823404255319149</v>
      </c>
      <c r="H77" s="60">
        <f t="shared" si="10"/>
        <v>307.05319148936172</v>
      </c>
      <c r="I77" s="96">
        <f>'Facility Master'!Q25</f>
        <v>7.6999999999999999E-2</v>
      </c>
      <c r="J77" s="97">
        <f t="shared" si="14"/>
        <v>91</v>
      </c>
      <c r="K77" s="60">
        <f t="shared" si="11"/>
        <v>6.0255707024191194</v>
      </c>
      <c r="L77" s="60">
        <f t="shared" si="12"/>
        <v>12.848974957738267</v>
      </c>
    </row>
    <row r="78" spans="2:12" ht="15.75" customHeight="1" x14ac:dyDescent="0.3">
      <c r="B78" s="92">
        <v>7</v>
      </c>
      <c r="C78" s="53">
        <v>45930</v>
      </c>
      <c r="D78" s="92" t="s">
        <v>524</v>
      </c>
      <c r="E78" s="45">
        <f t="shared" si="13"/>
        <v>307.05319148936172</v>
      </c>
      <c r="F78" s="45">
        <f>IF(AND('Facility Master'!W25&gt;C77,'Facility Master'!W25&lt;=C78),'Facility Master'!J25,0)</f>
        <v>0</v>
      </c>
      <c r="G78" s="45">
        <f>IFERROR(IF(AND('Facility Master'!X25&lt;&gt;"-",C78&gt;='Facility Master'!X25,C78&lt;='Facility Master'!Y25),MIN(E78+F78,'Facility Master'!J25/'Facility Master'!V25),0),0)</f>
        <v>6.823404255319149</v>
      </c>
      <c r="H78" s="45">
        <f t="shared" si="10"/>
        <v>300.22978723404259</v>
      </c>
      <c r="I78" s="93">
        <f>'Facility Master'!Q25</f>
        <v>7.6999999999999999E-2</v>
      </c>
      <c r="J78" s="94">
        <f t="shared" si="14"/>
        <v>92</v>
      </c>
      <c r="K78" s="45">
        <f t="shared" si="11"/>
        <v>5.9593556397551737</v>
      </c>
      <c r="L78" s="45">
        <f t="shared" si="12"/>
        <v>12.782759895074323</v>
      </c>
    </row>
    <row r="79" spans="2:12" ht="15.75" customHeight="1" x14ac:dyDescent="0.3">
      <c r="B79" s="95">
        <v>8</v>
      </c>
      <c r="C79" s="67">
        <v>46022</v>
      </c>
      <c r="D79" s="95" t="s">
        <v>525</v>
      </c>
      <c r="E79" s="60">
        <f t="shared" si="13"/>
        <v>300.22978723404259</v>
      </c>
      <c r="F79" s="60">
        <f>IF(AND('Facility Master'!W25&gt;C78,'Facility Master'!W25&lt;=C79),'Facility Master'!J25,0)</f>
        <v>0</v>
      </c>
      <c r="G79" s="60">
        <f>IFERROR(IF(AND('Facility Master'!X25&lt;&gt;"-",C79&gt;='Facility Master'!X25,C79&lt;='Facility Master'!Y25),MIN(E79+F79,'Facility Master'!J25/'Facility Master'!V25),0),0)</f>
        <v>6.823404255319149</v>
      </c>
      <c r="H79" s="60">
        <f t="shared" si="10"/>
        <v>293.40638297872346</v>
      </c>
      <c r="I79" s="96">
        <f>'Facility Master'!Q25</f>
        <v>7.6999999999999999E-2</v>
      </c>
      <c r="J79" s="97">
        <f t="shared" si="14"/>
        <v>92</v>
      </c>
      <c r="K79" s="60">
        <f t="shared" si="11"/>
        <v>5.8269255144272805</v>
      </c>
      <c r="L79" s="60">
        <f t="shared" si="12"/>
        <v>12.650329769746429</v>
      </c>
    </row>
    <row r="80" spans="2:12" ht="15.75" customHeight="1" x14ac:dyDescent="0.3">
      <c r="B80" s="92">
        <v>9</v>
      </c>
      <c r="C80" s="53">
        <v>46112</v>
      </c>
      <c r="D80" s="92" t="s">
        <v>526</v>
      </c>
      <c r="E80" s="45">
        <f t="shared" si="13"/>
        <v>293.40638297872346</v>
      </c>
      <c r="F80" s="45">
        <f>IF(AND('Facility Master'!W25&gt;C79,'Facility Master'!W25&lt;=C80),'Facility Master'!J25,0)</f>
        <v>0</v>
      </c>
      <c r="G80" s="45">
        <f>IFERROR(IF(AND('Facility Master'!X25&lt;&gt;"-",C80&gt;='Facility Master'!X25,C80&lt;='Facility Master'!Y25),MIN(E80+F80,'Facility Master'!J25/'Facility Master'!V25),0),0)</f>
        <v>6.823404255319149</v>
      </c>
      <c r="H80" s="45">
        <f t="shared" si="10"/>
        <v>286.58297872340432</v>
      </c>
      <c r="I80" s="93">
        <f>'Facility Master'!Q25</f>
        <v>7.6999999999999999E-2</v>
      </c>
      <c r="J80" s="94">
        <f t="shared" si="14"/>
        <v>90</v>
      </c>
      <c r="K80" s="45">
        <f t="shared" si="11"/>
        <v>5.5707020110754888</v>
      </c>
      <c r="L80" s="45">
        <f t="shared" si="12"/>
        <v>12.394106266394637</v>
      </c>
    </row>
    <row r="81" spans="2:12" ht="15.75" customHeight="1" x14ac:dyDescent="0.3">
      <c r="B81" s="95">
        <v>10</v>
      </c>
      <c r="C81" s="67">
        <v>46203</v>
      </c>
      <c r="D81" s="95" t="s">
        <v>527</v>
      </c>
      <c r="E81" s="60">
        <f t="shared" si="13"/>
        <v>286.58297872340432</v>
      </c>
      <c r="F81" s="60">
        <f>IF(AND('Facility Master'!W25&gt;C80,'Facility Master'!W25&lt;=C81),'Facility Master'!J25,0)</f>
        <v>0</v>
      </c>
      <c r="G81" s="60">
        <f>IFERROR(IF(AND('Facility Master'!X25&lt;&gt;"-",C81&gt;='Facility Master'!X25,C81&lt;='Facility Master'!Y25),MIN(E81+F81,'Facility Master'!J25/'Facility Master'!V25),0),0)</f>
        <v>6.823404255319149</v>
      </c>
      <c r="H81" s="60">
        <f t="shared" si="10"/>
        <v>279.75957446808519</v>
      </c>
      <c r="I81" s="96">
        <f>'Facility Master'!Q25</f>
        <v>7.6999999999999999E-2</v>
      </c>
      <c r="J81" s="97">
        <f t="shared" si="14"/>
        <v>91</v>
      </c>
      <c r="K81" s="60">
        <f t="shared" si="11"/>
        <v>5.5016080326435448</v>
      </c>
      <c r="L81" s="60">
        <f t="shared" si="12"/>
        <v>12.325012287962693</v>
      </c>
    </row>
    <row r="82" spans="2:12" ht="15.75" customHeight="1" x14ac:dyDescent="0.3">
      <c r="B82" s="92">
        <v>11</v>
      </c>
      <c r="C82" s="53">
        <v>46295</v>
      </c>
      <c r="D82" s="92" t="s">
        <v>528</v>
      </c>
      <c r="E82" s="45">
        <f t="shared" si="13"/>
        <v>279.75957446808519</v>
      </c>
      <c r="F82" s="45">
        <f>IF(AND('Facility Master'!W25&gt;C81,'Facility Master'!W25&lt;=C82),'Facility Master'!J25,0)</f>
        <v>0</v>
      </c>
      <c r="G82" s="45">
        <f>IFERROR(IF(AND('Facility Master'!X25&lt;&gt;"-",C82&gt;='Facility Master'!X25,C82&lt;='Facility Master'!Y25),MIN(E82+F82,'Facility Master'!J25/'Facility Master'!V25),0),0)</f>
        <v>6.823404255319149</v>
      </c>
      <c r="H82" s="45">
        <f t="shared" si="10"/>
        <v>272.93617021276606</v>
      </c>
      <c r="I82" s="93">
        <f>'Facility Master'!Q25</f>
        <v>7.6999999999999999E-2</v>
      </c>
      <c r="J82" s="94">
        <f t="shared" si="14"/>
        <v>92</v>
      </c>
      <c r="K82" s="45">
        <f t="shared" si="11"/>
        <v>5.4296351384436043</v>
      </c>
      <c r="L82" s="45">
        <f t="shared" si="12"/>
        <v>12.253039393762753</v>
      </c>
    </row>
    <row r="83" spans="2:12" ht="15.75" customHeight="1" x14ac:dyDescent="0.3">
      <c r="B83" s="95">
        <v>12</v>
      </c>
      <c r="C83" s="67">
        <v>46387</v>
      </c>
      <c r="D83" s="95" t="s">
        <v>529</v>
      </c>
      <c r="E83" s="60">
        <f t="shared" si="13"/>
        <v>272.93617021276606</v>
      </c>
      <c r="F83" s="60">
        <f>IF(AND('Facility Master'!W25&gt;C82,'Facility Master'!W25&lt;=C83),'Facility Master'!J25,0)</f>
        <v>0</v>
      </c>
      <c r="G83" s="60">
        <f>IFERROR(IF(AND('Facility Master'!X25&lt;&gt;"-",C83&gt;='Facility Master'!X25,C83&lt;='Facility Master'!Y25),MIN(E83+F83,'Facility Master'!J25/'Facility Master'!V25),0),0)</f>
        <v>6.823404255319149</v>
      </c>
      <c r="H83" s="60">
        <f t="shared" si="10"/>
        <v>266.11276595744692</v>
      </c>
      <c r="I83" s="96">
        <f>'Facility Master'!Q25</f>
        <v>7.6999999999999999E-2</v>
      </c>
      <c r="J83" s="97">
        <f t="shared" si="14"/>
        <v>92</v>
      </c>
      <c r="K83" s="60">
        <f t="shared" si="11"/>
        <v>5.2972050131157111</v>
      </c>
      <c r="L83" s="60">
        <f t="shared" si="12"/>
        <v>12.12060926843486</v>
      </c>
    </row>
    <row r="84" spans="2:12" ht="15.75" customHeight="1" x14ac:dyDescent="0.3">
      <c r="B84" s="92">
        <v>13</v>
      </c>
      <c r="C84" s="53">
        <v>46477</v>
      </c>
      <c r="D84" s="92" t="s">
        <v>530</v>
      </c>
      <c r="E84" s="45">
        <f t="shared" si="13"/>
        <v>266.11276595744692</v>
      </c>
      <c r="F84" s="45">
        <f>IF(AND('Facility Master'!W25&gt;C83,'Facility Master'!W25&lt;=C84),'Facility Master'!J25,0)</f>
        <v>0</v>
      </c>
      <c r="G84" s="45">
        <f>IFERROR(IF(AND('Facility Master'!X25&lt;&gt;"-",C84&gt;='Facility Master'!X25,C84&lt;='Facility Master'!Y25),MIN(E84+F84,'Facility Master'!J25/'Facility Master'!V25),0),0)</f>
        <v>6.823404255319149</v>
      </c>
      <c r="H84" s="45">
        <f t="shared" si="10"/>
        <v>259.28936170212779</v>
      </c>
      <c r="I84" s="93">
        <f>'Facility Master'!Q25</f>
        <v>7.6999999999999999E-2</v>
      </c>
      <c r="J84" s="94">
        <f t="shared" si="14"/>
        <v>90</v>
      </c>
      <c r="K84" s="45">
        <f t="shared" si="11"/>
        <v>5.0524971728359098</v>
      </c>
      <c r="L84" s="45">
        <f t="shared" si="12"/>
        <v>11.875901428155059</v>
      </c>
    </row>
    <row r="85" spans="2:12" ht="15.75" customHeight="1" x14ac:dyDescent="0.3">
      <c r="B85" s="95">
        <v>14</v>
      </c>
      <c r="C85" s="67">
        <v>46568</v>
      </c>
      <c r="D85" s="95" t="s">
        <v>531</v>
      </c>
      <c r="E85" s="60">
        <f t="shared" si="13"/>
        <v>259.28936170212779</v>
      </c>
      <c r="F85" s="60">
        <f>IF(AND('Facility Master'!W25&gt;C84,'Facility Master'!W25&lt;=C85),'Facility Master'!J25,0)</f>
        <v>0</v>
      </c>
      <c r="G85" s="60">
        <f>IFERROR(IF(AND('Facility Master'!X25&lt;&gt;"-",C85&gt;='Facility Master'!X25,C85&lt;='Facility Master'!Y25),MIN(E85+F85,'Facility Master'!J25/'Facility Master'!V25),0),0)</f>
        <v>6.823404255319149</v>
      </c>
      <c r="H85" s="60">
        <f t="shared" si="10"/>
        <v>252.46595744680863</v>
      </c>
      <c r="I85" s="96">
        <f>'Facility Master'!Q25</f>
        <v>7.6999999999999999E-2</v>
      </c>
      <c r="J85" s="97">
        <f t="shared" si="14"/>
        <v>91</v>
      </c>
      <c r="K85" s="60">
        <f t="shared" si="11"/>
        <v>4.9776453628679702</v>
      </c>
      <c r="L85" s="60">
        <f t="shared" si="12"/>
        <v>11.801049618187118</v>
      </c>
    </row>
    <row r="86" spans="2:12" ht="15.75" customHeight="1" x14ac:dyDescent="0.3">
      <c r="B86" s="92">
        <v>15</v>
      </c>
      <c r="C86" s="53">
        <v>46660</v>
      </c>
      <c r="D86" s="92" t="s">
        <v>532</v>
      </c>
      <c r="E86" s="45">
        <f t="shared" si="13"/>
        <v>252.46595744680863</v>
      </c>
      <c r="F86" s="45">
        <f>IF(AND('Facility Master'!W25&gt;C85,'Facility Master'!W25&lt;=C86),'Facility Master'!J25,0)</f>
        <v>0</v>
      </c>
      <c r="G86" s="45">
        <f>IFERROR(IF(AND('Facility Master'!X25&lt;&gt;"-",C86&gt;='Facility Master'!X25,C86&lt;='Facility Master'!Y25),MIN(E86+F86,'Facility Master'!J25/'Facility Master'!V25),0),0)</f>
        <v>6.823404255319149</v>
      </c>
      <c r="H86" s="45">
        <f t="shared" si="10"/>
        <v>245.64255319148947</v>
      </c>
      <c r="I86" s="93">
        <f>'Facility Master'!Q25</f>
        <v>7.6999999999999999E-2</v>
      </c>
      <c r="J86" s="94">
        <f t="shared" si="14"/>
        <v>92</v>
      </c>
      <c r="K86" s="45">
        <f t="shared" si="11"/>
        <v>4.8999146371320332</v>
      </c>
      <c r="L86" s="45">
        <f t="shared" si="12"/>
        <v>11.723318892451182</v>
      </c>
    </row>
    <row r="87" spans="2:12" ht="15.75" customHeight="1" x14ac:dyDescent="0.3">
      <c r="B87" s="95">
        <v>16</v>
      </c>
      <c r="C87" s="67">
        <v>46752</v>
      </c>
      <c r="D87" s="95" t="s">
        <v>533</v>
      </c>
      <c r="E87" s="60">
        <f t="shared" si="13"/>
        <v>245.64255319148947</v>
      </c>
      <c r="F87" s="60">
        <f>IF(AND('Facility Master'!W25&gt;C86,'Facility Master'!W25&lt;=C87),'Facility Master'!J25,0)</f>
        <v>0</v>
      </c>
      <c r="G87" s="60">
        <f>IFERROR(IF(AND('Facility Master'!X25&lt;&gt;"-",C87&gt;='Facility Master'!X25,C87&lt;='Facility Master'!Y25),MIN(E87+F87,'Facility Master'!J25/'Facility Master'!V25),0),0)</f>
        <v>6.823404255319149</v>
      </c>
      <c r="H87" s="60">
        <f t="shared" si="10"/>
        <v>238.81914893617031</v>
      </c>
      <c r="I87" s="96">
        <f>'Facility Master'!Q25</f>
        <v>7.6999999999999999E-2</v>
      </c>
      <c r="J87" s="97">
        <f t="shared" si="14"/>
        <v>92</v>
      </c>
      <c r="K87" s="60">
        <f t="shared" si="11"/>
        <v>4.76748451180414</v>
      </c>
      <c r="L87" s="60">
        <f t="shared" si="12"/>
        <v>11.590888767123289</v>
      </c>
    </row>
    <row r="88" spans="2:12" ht="15.75" customHeight="1" x14ac:dyDescent="0.3">
      <c r="B88" s="92">
        <v>17</v>
      </c>
      <c r="C88" s="53">
        <v>46843</v>
      </c>
      <c r="D88" s="92" t="s">
        <v>534</v>
      </c>
      <c r="E88" s="45">
        <f t="shared" si="13"/>
        <v>238.81914893617031</v>
      </c>
      <c r="F88" s="45">
        <f>IF(AND('Facility Master'!W25&gt;C87,'Facility Master'!W25&lt;=C88),'Facility Master'!J25,0)</f>
        <v>0</v>
      </c>
      <c r="G88" s="45">
        <f>IFERROR(IF(AND('Facility Master'!X25&lt;&gt;"-",C88&gt;='Facility Master'!X25,C88&lt;='Facility Master'!Y25),MIN(E88+F88,'Facility Master'!J25/'Facility Master'!V25),0),0)</f>
        <v>6.823404255319149</v>
      </c>
      <c r="H88" s="45">
        <f t="shared" si="10"/>
        <v>231.99574468085115</v>
      </c>
      <c r="I88" s="93">
        <f>'Facility Master'!Q25</f>
        <v>7.6999999999999999E-2</v>
      </c>
      <c r="J88" s="94">
        <f t="shared" si="14"/>
        <v>91</v>
      </c>
      <c r="K88" s="45">
        <f t="shared" si="11"/>
        <v>4.5846733605362884</v>
      </c>
      <c r="L88" s="45">
        <f t="shared" si="12"/>
        <v>11.408077615855436</v>
      </c>
    </row>
    <row r="89" spans="2:12" ht="15.75" customHeight="1" x14ac:dyDescent="0.3">
      <c r="B89" s="95">
        <v>18</v>
      </c>
      <c r="C89" s="67">
        <v>46934</v>
      </c>
      <c r="D89" s="95" t="s">
        <v>535</v>
      </c>
      <c r="E89" s="60">
        <f t="shared" si="13"/>
        <v>231.99574468085115</v>
      </c>
      <c r="F89" s="60">
        <f>IF(AND('Facility Master'!W25&gt;C88,'Facility Master'!W25&lt;=C89),'Facility Master'!J25,0)</f>
        <v>0</v>
      </c>
      <c r="G89" s="60">
        <f>IFERROR(IF(AND('Facility Master'!X25&lt;&gt;"-",C89&gt;='Facility Master'!X25,C89&lt;='Facility Master'!Y25),MIN(E89+F89,'Facility Master'!J25/'Facility Master'!V25),0),0)</f>
        <v>6.823404255319149</v>
      </c>
      <c r="H89" s="60">
        <f t="shared" si="10"/>
        <v>225.17234042553198</v>
      </c>
      <c r="I89" s="96">
        <f>'Facility Master'!Q25</f>
        <v>7.6999999999999999E-2</v>
      </c>
      <c r="J89" s="97">
        <f t="shared" si="14"/>
        <v>91</v>
      </c>
      <c r="K89" s="60">
        <f t="shared" si="11"/>
        <v>4.4536826930923938</v>
      </c>
      <c r="L89" s="60">
        <f t="shared" si="12"/>
        <v>11.277086948411544</v>
      </c>
    </row>
    <row r="90" spans="2:12" ht="15.75" customHeight="1" x14ac:dyDescent="0.3">
      <c r="B90" s="92">
        <v>19</v>
      </c>
      <c r="C90" s="53">
        <v>47026</v>
      </c>
      <c r="D90" s="92" t="s">
        <v>536</v>
      </c>
      <c r="E90" s="45">
        <f t="shared" si="13"/>
        <v>225.17234042553198</v>
      </c>
      <c r="F90" s="45">
        <f>IF(AND('Facility Master'!W25&gt;C89,'Facility Master'!W25&lt;=C90),'Facility Master'!J25,0)</f>
        <v>0</v>
      </c>
      <c r="G90" s="45">
        <f>IFERROR(IF(AND('Facility Master'!X25&lt;&gt;"-",C90&gt;='Facility Master'!X25,C90&lt;='Facility Master'!Y25),MIN(E90+F90,'Facility Master'!J25/'Facility Master'!V25),0),0)</f>
        <v>6.823404255319149</v>
      </c>
      <c r="H90" s="45">
        <f t="shared" si="10"/>
        <v>218.34893617021282</v>
      </c>
      <c r="I90" s="93">
        <f>'Facility Master'!Q25</f>
        <v>7.6999999999999999E-2</v>
      </c>
      <c r="J90" s="94">
        <f t="shared" si="14"/>
        <v>92</v>
      </c>
      <c r="K90" s="45">
        <f t="shared" si="11"/>
        <v>4.3701941358204621</v>
      </c>
      <c r="L90" s="45">
        <f t="shared" si="12"/>
        <v>11.193598391139611</v>
      </c>
    </row>
    <row r="91" spans="2:12" ht="15.75" customHeight="1" x14ac:dyDescent="0.3">
      <c r="B91" s="95">
        <v>20</v>
      </c>
      <c r="C91" s="67">
        <v>47118</v>
      </c>
      <c r="D91" s="95" t="s">
        <v>537</v>
      </c>
      <c r="E91" s="60">
        <f t="shared" si="13"/>
        <v>218.34893617021282</v>
      </c>
      <c r="F91" s="60">
        <f>IF(AND('Facility Master'!W25&gt;C90,'Facility Master'!W25&lt;=C91),'Facility Master'!J25,0)</f>
        <v>0</v>
      </c>
      <c r="G91" s="60">
        <f>IFERROR(IF(AND('Facility Master'!X25&lt;&gt;"-",C91&gt;='Facility Master'!X25,C91&lt;='Facility Master'!Y25),MIN(E91+F91,'Facility Master'!J25/'Facility Master'!V25),0),0)</f>
        <v>6.823404255319149</v>
      </c>
      <c r="H91" s="60">
        <f t="shared" si="10"/>
        <v>211.52553191489366</v>
      </c>
      <c r="I91" s="96">
        <f>'Facility Master'!Q25</f>
        <v>7.6999999999999999E-2</v>
      </c>
      <c r="J91" s="97">
        <f t="shared" si="14"/>
        <v>92</v>
      </c>
      <c r="K91" s="60">
        <f t="shared" si="11"/>
        <v>4.2377640104925689</v>
      </c>
      <c r="L91" s="60">
        <f t="shared" si="12"/>
        <v>11.061168265811718</v>
      </c>
    </row>
    <row r="92" spans="2:12" ht="15.75" customHeight="1" x14ac:dyDescent="0.3">
      <c r="B92" s="92">
        <v>21</v>
      </c>
      <c r="C92" s="53">
        <v>47208</v>
      </c>
      <c r="D92" s="92" t="s">
        <v>538</v>
      </c>
      <c r="E92" s="45">
        <f t="shared" si="13"/>
        <v>211.52553191489366</v>
      </c>
      <c r="F92" s="45">
        <f>IF(AND('Facility Master'!W25&gt;C91,'Facility Master'!W25&lt;=C92),'Facility Master'!J25,0)</f>
        <v>0</v>
      </c>
      <c r="G92" s="45">
        <f>IFERROR(IF(AND('Facility Master'!X25&lt;&gt;"-",C92&gt;='Facility Master'!X25,C92&lt;='Facility Master'!Y25),MIN(E92+F92,'Facility Master'!J25/'Facility Master'!V25),0),0)</f>
        <v>6.823404255319149</v>
      </c>
      <c r="H92" s="45">
        <f t="shared" si="10"/>
        <v>204.7021276595745</v>
      </c>
      <c r="I92" s="93">
        <f>'Facility Master'!Q25</f>
        <v>7.6999999999999999E-2</v>
      </c>
      <c r="J92" s="94">
        <f t="shared" si="14"/>
        <v>90</v>
      </c>
      <c r="K92" s="45">
        <f t="shared" si="11"/>
        <v>4.0160874963567483</v>
      </c>
      <c r="L92" s="45">
        <f t="shared" si="12"/>
        <v>10.839491751675897</v>
      </c>
    </row>
    <row r="93" spans="2:12" ht="15.75" customHeight="1" x14ac:dyDescent="0.3">
      <c r="B93" s="95">
        <v>22</v>
      </c>
      <c r="C93" s="67">
        <v>47299</v>
      </c>
      <c r="D93" s="95" t="s">
        <v>539</v>
      </c>
      <c r="E93" s="60">
        <f t="shared" si="13"/>
        <v>204.7021276595745</v>
      </c>
      <c r="F93" s="60">
        <f>IF(AND('Facility Master'!W25&gt;C92,'Facility Master'!W25&lt;=C93),'Facility Master'!J25,0)</f>
        <v>0</v>
      </c>
      <c r="G93" s="60">
        <f>IFERROR(IF(AND('Facility Master'!X25&lt;&gt;"-",C93&gt;='Facility Master'!X25,C93&lt;='Facility Master'!Y25),MIN(E93+F93,'Facility Master'!J25/'Facility Master'!V25),0),0)</f>
        <v>6.823404255319149</v>
      </c>
      <c r="H93" s="60">
        <f t="shared" si="10"/>
        <v>197.87872340425534</v>
      </c>
      <c r="I93" s="96">
        <f>'Facility Master'!Q25</f>
        <v>7.6999999999999999E-2</v>
      </c>
      <c r="J93" s="97">
        <f t="shared" si="14"/>
        <v>91</v>
      </c>
      <c r="K93" s="60">
        <f t="shared" si="11"/>
        <v>3.9297200233168179</v>
      </c>
      <c r="L93" s="60">
        <f t="shared" si="12"/>
        <v>10.753124278635967</v>
      </c>
    </row>
    <row r="94" spans="2:12" ht="15.75" customHeight="1" x14ac:dyDescent="0.3">
      <c r="B94" s="92">
        <v>23</v>
      </c>
      <c r="C94" s="53">
        <v>47391</v>
      </c>
      <c r="D94" s="92" t="s">
        <v>540</v>
      </c>
      <c r="E94" s="45">
        <f t="shared" si="13"/>
        <v>197.87872340425534</v>
      </c>
      <c r="F94" s="45">
        <f>IF(AND('Facility Master'!W25&gt;C93,'Facility Master'!W25&lt;=C94),'Facility Master'!J25,0)</f>
        <v>0</v>
      </c>
      <c r="G94" s="45">
        <f>IFERROR(IF(AND('Facility Master'!X25&lt;&gt;"-",C94&gt;='Facility Master'!X25,C94&lt;='Facility Master'!Y25),MIN(E94+F94,'Facility Master'!J25/'Facility Master'!V25),0),0)</f>
        <v>6.823404255319149</v>
      </c>
      <c r="H94" s="45">
        <f t="shared" si="10"/>
        <v>191.05531914893618</v>
      </c>
      <c r="I94" s="93">
        <f>'Facility Master'!Q25</f>
        <v>7.6999999999999999E-2</v>
      </c>
      <c r="J94" s="94">
        <f t="shared" si="14"/>
        <v>92</v>
      </c>
      <c r="K94" s="45">
        <f t="shared" si="11"/>
        <v>3.8404736345088897</v>
      </c>
      <c r="L94" s="45">
        <f t="shared" si="12"/>
        <v>10.663877889828038</v>
      </c>
    </row>
    <row r="95" spans="2:12" ht="15.75" customHeight="1" x14ac:dyDescent="0.3">
      <c r="B95" s="95">
        <v>24</v>
      </c>
      <c r="C95" s="67">
        <v>47483</v>
      </c>
      <c r="D95" s="95" t="s">
        <v>541</v>
      </c>
      <c r="E95" s="60">
        <f t="shared" si="13"/>
        <v>191.05531914893618</v>
      </c>
      <c r="F95" s="60">
        <f>IF(AND('Facility Master'!W25&gt;C94,'Facility Master'!W25&lt;=C95),'Facility Master'!J25,0)</f>
        <v>0</v>
      </c>
      <c r="G95" s="60">
        <f>IFERROR(IF(AND('Facility Master'!X25&lt;&gt;"-",C95&gt;='Facility Master'!X25,C95&lt;='Facility Master'!Y25),MIN(E95+F95,'Facility Master'!J25/'Facility Master'!V25),0),0)</f>
        <v>6.823404255319149</v>
      </c>
      <c r="H95" s="60">
        <f t="shared" si="10"/>
        <v>184.23191489361702</v>
      </c>
      <c r="I95" s="96">
        <f>'Facility Master'!Q25</f>
        <v>7.6999999999999999E-2</v>
      </c>
      <c r="J95" s="97">
        <f t="shared" si="14"/>
        <v>92</v>
      </c>
      <c r="K95" s="60">
        <f t="shared" si="11"/>
        <v>3.7080435091809973</v>
      </c>
      <c r="L95" s="60">
        <f t="shared" si="12"/>
        <v>10.531447764500147</v>
      </c>
    </row>
    <row r="96" spans="2:12" ht="15.75" customHeight="1" x14ac:dyDescent="0.3">
      <c r="B96" s="92">
        <v>25</v>
      </c>
      <c r="C96" s="53">
        <v>47573</v>
      </c>
      <c r="D96" s="92" t="s">
        <v>542</v>
      </c>
      <c r="E96" s="45">
        <f t="shared" si="13"/>
        <v>184.23191489361702</v>
      </c>
      <c r="F96" s="45">
        <f>IF(AND('Facility Master'!W25&gt;C95,'Facility Master'!W25&lt;=C96),'Facility Master'!J25,0)</f>
        <v>0</v>
      </c>
      <c r="G96" s="45">
        <f>IFERROR(IF(AND('Facility Master'!X25&lt;&gt;"-",C96&gt;='Facility Master'!X25,C96&lt;='Facility Master'!Y25),MIN(E96+F96,'Facility Master'!J25/'Facility Master'!V25),0),0)</f>
        <v>6.823404255319149</v>
      </c>
      <c r="H96" s="45">
        <f t="shared" si="10"/>
        <v>177.40851063829786</v>
      </c>
      <c r="I96" s="93">
        <f>'Facility Master'!Q25</f>
        <v>7.6999999999999999E-2</v>
      </c>
      <c r="J96" s="94">
        <f t="shared" si="14"/>
        <v>90</v>
      </c>
      <c r="K96" s="45">
        <f t="shared" si="11"/>
        <v>3.4978826581171671</v>
      </c>
      <c r="L96" s="45">
        <f t="shared" si="12"/>
        <v>10.321286913436316</v>
      </c>
    </row>
    <row r="97" spans="2:12" ht="15.75" customHeight="1" x14ac:dyDescent="0.3">
      <c r="B97" s="95">
        <v>26</v>
      </c>
      <c r="C97" s="67">
        <v>47664</v>
      </c>
      <c r="D97" s="95" t="s">
        <v>543</v>
      </c>
      <c r="E97" s="60">
        <f t="shared" si="13"/>
        <v>177.40851063829786</v>
      </c>
      <c r="F97" s="60">
        <f>IF(AND('Facility Master'!W25&gt;C96,'Facility Master'!W25&lt;=C97),'Facility Master'!J25,0)</f>
        <v>0</v>
      </c>
      <c r="G97" s="60">
        <f>IFERROR(IF(AND('Facility Master'!X25&lt;&gt;"-",C97&gt;='Facility Master'!X25,C97&lt;='Facility Master'!Y25),MIN(E97+F97,'Facility Master'!J25/'Facility Master'!V25),0),0)</f>
        <v>6.823404255319149</v>
      </c>
      <c r="H97" s="60">
        <f t="shared" si="10"/>
        <v>170.58510638297869</v>
      </c>
      <c r="I97" s="96">
        <f>'Facility Master'!Q25</f>
        <v>7.6999999999999999E-2</v>
      </c>
      <c r="J97" s="97">
        <f t="shared" si="14"/>
        <v>91</v>
      </c>
      <c r="K97" s="60">
        <f t="shared" si="11"/>
        <v>3.4057573535412415</v>
      </c>
      <c r="L97" s="60">
        <f t="shared" si="12"/>
        <v>10.229161608860391</v>
      </c>
    </row>
    <row r="98" spans="2:12" ht="15.75" customHeight="1" x14ac:dyDescent="0.3">
      <c r="B98" s="92">
        <v>27</v>
      </c>
      <c r="C98" s="53">
        <v>47756</v>
      </c>
      <c r="D98" s="92" t="s">
        <v>544</v>
      </c>
      <c r="E98" s="45">
        <f t="shared" si="13"/>
        <v>170.58510638297869</v>
      </c>
      <c r="F98" s="45">
        <f>IF(AND('Facility Master'!W25&gt;C97,'Facility Master'!W25&lt;=C98),'Facility Master'!J25,0)</f>
        <v>0</v>
      </c>
      <c r="G98" s="45">
        <f>IFERROR(IF(AND('Facility Master'!X25&lt;&gt;"-",C98&gt;='Facility Master'!X25,C98&lt;='Facility Master'!Y25),MIN(E98+F98,'Facility Master'!J25/'Facility Master'!V25),0),0)</f>
        <v>6.823404255319149</v>
      </c>
      <c r="H98" s="45">
        <f t="shared" si="10"/>
        <v>163.76170212765953</v>
      </c>
      <c r="I98" s="93">
        <f>'Facility Master'!Q25</f>
        <v>7.6999999999999999E-2</v>
      </c>
      <c r="J98" s="94">
        <f t="shared" si="14"/>
        <v>92</v>
      </c>
      <c r="K98" s="45">
        <f t="shared" si="11"/>
        <v>3.3107531331973181</v>
      </c>
      <c r="L98" s="45">
        <f t="shared" si="12"/>
        <v>10.134157388516467</v>
      </c>
    </row>
    <row r="99" spans="2:12" ht="15.75" customHeight="1" x14ac:dyDescent="0.3">
      <c r="B99" s="95">
        <v>28</v>
      </c>
      <c r="C99" s="67">
        <v>47848</v>
      </c>
      <c r="D99" s="95" t="s">
        <v>545</v>
      </c>
      <c r="E99" s="60">
        <f t="shared" si="13"/>
        <v>163.76170212765953</v>
      </c>
      <c r="F99" s="60">
        <f>IF(AND('Facility Master'!W25&gt;C98,'Facility Master'!W25&lt;=C99),'Facility Master'!J25,0)</f>
        <v>0</v>
      </c>
      <c r="G99" s="60">
        <f>IFERROR(IF(AND('Facility Master'!X25&lt;&gt;"-",C99&gt;='Facility Master'!X25,C99&lt;='Facility Master'!Y25),MIN(E99+F99,'Facility Master'!J25/'Facility Master'!V25),0),0)</f>
        <v>6.823404255319149</v>
      </c>
      <c r="H99" s="60">
        <f t="shared" si="10"/>
        <v>156.93829787234037</v>
      </c>
      <c r="I99" s="96">
        <f>'Facility Master'!Q25</f>
        <v>7.6999999999999999E-2</v>
      </c>
      <c r="J99" s="97">
        <f t="shared" si="14"/>
        <v>92</v>
      </c>
      <c r="K99" s="60">
        <f t="shared" si="11"/>
        <v>3.1783230078694249</v>
      </c>
      <c r="L99" s="60">
        <f t="shared" si="12"/>
        <v>10.001727263188574</v>
      </c>
    </row>
    <row r="100" spans="2:12" ht="15.75" customHeight="1" x14ac:dyDescent="0.3">
      <c r="B100" s="92">
        <v>29</v>
      </c>
      <c r="C100" s="53">
        <v>47938</v>
      </c>
      <c r="D100" s="92" t="s">
        <v>546</v>
      </c>
      <c r="E100" s="45">
        <f t="shared" si="13"/>
        <v>156.93829787234037</v>
      </c>
      <c r="F100" s="45">
        <f>IF(AND('Facility Master'!W25&gt;C99,'Facility Master'!W25&lt;=C100),'Facility Master'!J25,0)</f>
        <v>0</v>
      </c>
      <c r="G100" s="45">
        <f>IFERROR(IF(AND('Facility Master'!X25&lt;&gt;"-",C100&gt;='Facility Master'!X25,C100&lt;='Facility Master'!Y25),MIN(E100+F100,'Facility Master'!J25/'Facility Master'!V25),0),0)</f>
        <v>6.823404255319149</v>
      </c>
      <c r="H100" s="45">
        <f t="shared" si="10"/>
        <v>150.11489361702121</v>
      </c>
      <c r="I100" s="93">
        <f>'Facility Master'!Q25</f>
        <v>7.6999999999999999E-2</v>
      </c>
      <c r="J100" s="94">
        <f t="shared" si="14"/>
        <v>90</v>
      </c>
      <c r="K100" s="45">
        <f t="shared" si="11"/>
        <v>2.979677819877586</v>
      </c>
      <c r="L100" s="45">
        <f t="shared" si="12"/>
        <v>9.803082075196734</v>
      </c>
    </row>
    <row r="101" spans="2:12" ht="15.75" customHeight="1" x14ac:dyDescent="0.3">
      <c r="B101" s="95">
        <v>30</v>
      </c>
      <c r="C101" s="67">
        <v>48029</v>
      </c>
      <c r="D101" s="95" t="s">
        <v>547</v>
      </c>
      <c r="E101" s="60">
        <f t="shared" si="13"/>
        <v>150.11489361702121</v>
      </c>
      <c r="F101" s="60">
        <f>IF(AND('Facility Master'!W25&gt;C100,'Facility Master'!W25&lt;=C101),'Facility Master'!J25,0)</f>
        <v>0</v>
      </c>
      <c r="G101" s="60">
        <f>IFERROR(IF(AND('Facility Master'!X25&lt;&gt;"-",C101&gt;='Facility Master'!X25,C101&lt;='Facility Master'!Y25),MIN(E101+F101,'Facility Master'!J25/'Facility Master'!V25),0),0)</f>
        <v>6.823404255319149</v>
      </c>
      <c r="H101" s="60">
        <f t="shared" si="10"/>
        <v>143.29148936170205</v>
      </c>
      <c r="I101" s="96">
        <f>'Facility Master'!Q25</f>
        <v>7.6999999999999999E-2</v>
      </c>
      <c r="J101" s="97">
        <f t="shared" si="14"/>
        <v>91</v>
      </c>
      <c r="K101" s="60">
        <f t="shared" si="11"/>
        <v>2.8817946837656652</v>
      </c>
      <c r="L101" s="60">
        <f t="shared" si="12"/>
        <v>9.7051989390848146</v>
      </c>
    </row>
    <row r="102" spans="2:12" ht="15.75" customHeight="1" x14ac:dyDescent="0.3">
      <c r="B102" s="92">
        <v>31</v>
      </c>
      <c r="C102" s="53">
        <v>48121</v>
      </c>
      <c r="D102" s="92" t="s">
        <v>548</v>
      </c>
      <c r="E102" s="45">
        <f t="shared" si="13"/>
        <v>143.29148936170205</v>
      </c>
      <c r="F102" s="45">
        <f>IF(AND('Facility Master'!W25&gt;C101,'Facility Master'!W25&lt;=C102),'Facility Master'!J25,0)</f>
        <v>0</v>
      </c>
      <c r="G102" s="45">
        <f>IFERROR(IF(AND('Facility Master'!X25&lt;&gt;"-",C102&gt;='Facility Master'!X25,C102&lt;='Facility Master'!Y25),MIN(E102+F102,'Facility Master'!J25/'Facility Master'!V25),0),0)</f>
        <v>6.823404255319149</v>
      </c>
      <c r="H102" s="45">
        <f t="shared" si="10"/>
        <v>136.46808510638289</v>
      </c>
      <c r="I102" s="93">
        <f>'Facility Master'!Q25</f>
        <v>7.6999999999999999E-2</v>
      </c>
      <c r="J102" s="94">
        <f t="shared" si="14"/>
        <v>92</v>
      </c>
      <c r="K102" s="45">
        <f t="shared" si="11"/>
        <v>2.7810326318857461</v>
      </c>
      <c r="L102" s="45">
        <f t="shared" si="12"/>
        <v>9.6044368872048942</v>
      </c>
    </row>
    <row r="103" spans="2:12" ht="15.75" customHeight="1" x14ac:dyDescent="0.3">
      <c r="B103" s="95">
        <v>32</v>
      </c>
      <c r="C103" s="67">
        <v>48213</v>
      </c>
      <c r="D103" s="95" t="s">
        <v>549</v>
      </c>
      <c r="E103" s="60">
        <f t="shared" si="13"/>
        <v>136.46808510638289</v>
      </c>
      <c r="F103" s="60">
        <f>IF(AND('Facility Master'!W25&gt;C102,'Facility Master'!W25&lt;=C103),'Facility Master'!J25,0)</f>
        <v>0</v>
      </c>
      <c r="G103" s="60">
        <f>IFERROR(IF(AND('Facility Master'!X25&lt;&gt;"-",C103&gt;='Facility Master'!X25,C103&lt;='Facility Master'!Y25),MIN(E103+F103,'Facility Master'!J25/'Facility Master'!V25),0),0)</f>
        <v>6.823404255319149</v>
      </c>
      <c r="H103" s="60">
        <f t="shared" si="10"/>
        <v>129.64468085106373</v>
      </c>
      <c r="I103" s="96">
        <f>'Facility Master'!Q25</f>
        <v>7.6999999999999999E-2</v>
      </c>
      <c r="J103" s="97">
        <f t="shared" si="14"/>
        <v>92</v>
      </c>
      <c r="K103" s="60">
        <f t="shared" si="11"/>
        <v>2.6486025065578529</v>
      </c>
      <c r="L103" s="60">
        <f t="shared" si="12"/>
        <v>9.472006761877001</v>
      </c>
    </row>
    <row r="104" spans="2:12" ht="15.75" customHeight="1" x14ac:dyDescent="0.3">
      <c r="B104" s="92">
        <v>33</v>
      </c>
      <c r="C104" s="53">
        <v>48304</v>
      </c>
      <c r="D104" s="92" t="s">
        <v>550</v>
      </c>
      <c r="E104" s="45">
        <f t="shared" si="13"/>
        <v>129.64468085106373</v>
      </c>
      <c r="F104" s="45">
        <f>IF(AND('Facility Master'!W25&gt;C103,'Facility Master'!W25&lt;=C104),'Facility Master'!J25,0)</f>
        <v>0</v>
      </c>
      <c r="G104" s="45">
        <f>IFERROR(IF(AND('Facility Master'!X25&lt;&gt;"-",C104&gt;='Facility Master'!X25,C104&lt;='Facility Master'!Y25),MIN(E104+F104,'Facility Master'!J25/'Facility Master'!V25),0),0)</f>
        <v>6.823404255319149</v>
      </c>
      <c r="H104" s="45">
        <f t="shared" ref="H104:H124" si="15">E104+F104-G104</f>
        <v>122.82127659574458</v>
      </c>
      <c r="I104" s="93">
        <f>'Facility Master'!Q25</f>
        <v>7.6999999999999999E-2</v>
      </c>
      <c r="J104" s="94">
        <f t="shared" si="14"/>
        <v>91</v>
      </c>
      <c r="K104" s="45">
        <f t="shared" ref="K104:K124" si="16">IFERROR(E104*I104*J104/DaysInYear,0)</f>
        <v>2.488822681433982</v>
      </c>
      <c r="L104" s="45">
        <f t="shared" ref="L104:L124" si="17">G104+K104</f>
        <v>9.312226936753131</v>
      </c>
    </row>
    <row r="105" spans="2:12" ht="15.75" customHeight="1" x14ac:dyDescent="0.3">
      <c r="B105" s="95">
        <v>34</v>
      </c>
      <c r="C105" s="67">
        <v>48395</v>
      </c>
      <c r="D105" s="95" t="s">
        <v>551</v>
      </c>
      <c r="E105" s="60">
        <f t="shared" ref="E105:E124" si="18">H104</f>
        <v>122.82127659574458</v>
      </c>
      <c r="F105" s="60">
        <f>IF(AND('Facility Master'!W25&gt;C104,'Facility Master'!W25&lt;=C105),'Facility Master'!J25,0)</f>
        <v>0</v>
      </c>
      <c r="G105" s="60">
        <f>IFERROR(IF(AND('Facility Master'!X25&lt;&gt;"-",C105&gt;='Facility Master'!X25,C105&lt;='Facility Master'!Y25),MIN(E105+F105,'Facility Master'!J25/'Facility Master'!V25),0),0)</f>
        <v>6.823404255319149</v>
      </c>
      <c r="H105" s="60">
        <f t="shared" si="15"/>
        <v>115.99787234042543</v>
      </c>
      <c r="I105" s="96">
        <f>'Facility Master'!Q25</f>
        <v>7.6999999999999999E-2</v>
      </c>
      <c r="J105" s="97">
        <f t="shared" ref="J105:J124" si="19">C105-C104</f>
        <v>91</v>
      </c>
      <c r="K105" s="60">
        <f t="shared" si="16"/>
        <v>2.3578320139900888</v>
      </c>
      <c r="L105" s="60">
        <f t="shared" si="17"/>
        <v>9.1812362693092382</v>
      </c>
    </row>
    <row r="106" spans="2:12" ht="15.75" customHeight="1" x14ac:dyDescent="0.3">
      <c r="B106" s="92">
        <v>35</v>
      </c>
      <c r="C106" s="53">
        <v>48487</v>
      </c>
      <c r="D106" s="92" t="s">
        <v>552</v>
      </c>
      <c r="E106" s="45">
        <f t="shared" si="18"/>
        <v>115.99787234042543</v>
      </c>
      <c r="F106" s="45">
        <f>IF(AND('Facility Master'!W25&gt;C105,'Facility Master'!W25&lt;=C106),'Facility Master'!J25,0)</f>
        <v>0</v>
      </c>
      <c r="G106" s="45">
        <f>IFERROR(IF(AND('Facility Master'!X25&lt;&gt;"-",C106&gt;='Facility Master'!X25,C106&lt;='Facility Master'!Y25),MIN(E106+F106,'Facility Master'!J25/'Facility Master'!V25),0),0)</f>
        <v>6.823404255319149</v>
      </c>
      <c r="H106" s="45">
        <f t="shared" si="15"/>
        <v>109.17446808510628</v>
      </c>
      <c r="I106" s="93">
        <f>'Facility Master'!Q25</f>
        <v>7.6999999999999999E-2</v>
      </c>
      <c r="J106" s="94">
        <f t="shared" si="19"/>
        <v>92</v>
      </c>
      <c r="K106" s="45">
        <f t="shared" si="16"/>
        <v>2.2513121305741746</v>
      </c>
      <c r="L106" s="45">
        <f t="shared" si="17"/>
        <v>9.0747163858933231</v>
      </c>
    </row>
    <row r="107" spans="2:12" ht="15.75" customHeight="1" x14ac:dyDescent="0.3">
      <c r="B107" s="95">
        <v>36</v>
      </c>
      <c r="C107" s="67">
        <v>48579</v>
      </c>
      <c r="D107" s="95" t="s">
        <v>553</v>
      </c>
      <c r="E107" s="60">
        <f t="shared" si="18"/>
        <v>109.17446808510628</v>
      </c>
      <c r="F107" s="60">
        <f>IF(AND('Facility Master'!W25&gt;C106,'Facility Master'!W25&lt;=C107),'Facility Master'!J25,0)</f>
        <v>0</v>
      </c>
      <c r="G107" s="60">
        <f>IFERROR(IF(AND('Facility Master'!X25&lt;&gt;"-",C107&gt;='Facility Master'!X25,C107&lt;='Facility Master'!Y25),MIN(E107+F107,'Facility Master'!J25/'Facility Master'!V25),0),0)</f>
        <v>6.823404255319149</v>
      </c>
      <c r="H107" s="60">
        <f t="shared" si="15"/>
        <v>102.35106382978714</v>
      </c>
      <c r="I107" s="96">
        <f>'Facility Master'!Q25</f>
        <v>7.6999999999999999E-2</v>
      </c>
      <c r="J107" s="97">
        <f t="shared" si="19"/>
        <v>92</v>
      </c>
      <c r="K107" s="60">
        <f t="shared" si="16"/>
        <v>2.1188820052462818</v>
      </c>
      <c r="L107" s="60">
        <f t="shared" si="17"/>
        <v>8.9422862605654316</v>
      </c>
    </row>
    <row r="108" spans="2:12" ht="15.75" customHeight="1" x14ac:dyDescent="0.3">
      <c r="B108" s="92">
        <v>37</v>
      </c>
      <c r="C108" s="53">
        <v>48669</v>
      </c>
      <c r="D108" s="92" t="s">
        <v>554</v>
      </c>
      <c r="E108" s="45">
        <f t="shared" si="18"/>
        <v>102.35106382978714</v>
      </c>
      <c r="F108" s="45">
        <f>IF(AND('Facility Master'!W25&gt;C107,'Facility Master'!W25&lt;=C108),'Facility Master'!J25,0)</f>
        <v>0</v>
      </c>
      <c r="G108" s="45">
        <f>IFERROR(IF(AND('Facility Master'!X25&lt;&gt;"-",C108&gt;='Facility Master'!X25,C108&lt;='Facility Master'!Y25),MIN(E108+F108,'Facility Master'!J25/'Facility Master'!V25),0),0)</f>
        <v>6.823404255319149</v>
      </c>
      <c r="H108" s="45">
        <f t="shared" si="15"/>
        <v>95.52765957446799</v>
      </c>
      <c r="I108" s="93">
        <f>'Facility Master'!Q25</f>
        <v>7.6999999999999999E-2</v>
      </c>
      <c r="J108" s="94">
        <f t="shared" si="19"/>
        <v>90</v>
      </c>
      <c r="K108" s="45">
        <f t="shared" si="16"/>
        <v>1.943268143398424</v>
      </c>
      <c r="L108" s="45">
        <f t="shared" si="17"/>
        <v>8.7666723987175725</v>
      </c>
    </row>
    <row r="109" spans="2:12" ht="15.75" customHeight="1" x14ac:dyDescent="0.3">
      <c r="B109" s="95">
        <v>38</v>
      </c>
      <c r="C109" s="67">
        <v>48760</v>
      </c>
      <c r="D109" s="95" t="s">
        <v>555</v>
      </c>
      <c r="E109" s="60">
        <f t="shared" si="18"/>
        <v>95.52765957446799</v>
      </c>
      <c r="F109" s="60">
        <f>IF(AND('Facility Master'!W25&gt;C108,'Facility Master'!W25&lt;=C109),'Facility Master'!J25,0)</f>
        <v>0</v>
      </c>
      <c r="G109" s="60">
        <f>IFERROR(IF(AND('Facility Master'!X25&lt;&gt;"-",C109&gt;='Facility Master'!X25,C109&lt;='Facility Master'!Y25),MIN(E109+F109,'Facility Master'!J25/'Facility Master'!V25),0),0)</f>
        <v>6.823404255319149</v>
      </c>
      <c r="H109" s="60">
        <f t="shared" si="15"/>
        <v>88.704255319148842</v>
      </c>
      <c r="I109" s="96">
        <f>'Facility Master'!Q25</f>
        <v>7.6999999999999999E-2</v>
      </c>
      <c r="J109" s="97">
        <f t="shared" si="19"/>
        <v>91</v>
      </c>
      <c r="K109" s="60">
        <f t="shared" si="16"/>
        <v>1.8338693442145126</v>
      </c>
      <c r="L109" s="60">
        <f t="shared" si="17"/>
        <v>8.6572735995336618</v>
      </c>
    </row>
    <row r="110" spans="2:12" ht="15.75" customHeight="1" x14ac:dyDescent="0.3">
      <c r="B110" s="92">
        <v>39</v>
      </c>
      <c r="C110" s="53">
        <v>48852</v>
      </c>
      <c r="D110" s="92" t="s">
        <v>556</v>
      </c>
      <c r="E110" s="45">
        <f t="shared" si="18"/>
        <v>88.704255319148842</v>
      </c>
      <c r="F110" s="45">
        <f>IF(AND('Facility Master'!W25&gt;C109,'Facility Master'!W25&lt;=C110),'Facility Master'!J25,0)</f>
        <v>0</v>
      </c>
      <c r="G110" s="45">
        <f>IFERROR(IF(AND('Facility Master'!X25&lt;&gt;"-",C110&gt;='Facility Master'!X25,C110&lt;='Facility Master'!Y25),MIN(E110+F110,'Facility Master'!J25/'Facility Master'!V25),0),0)</f>
        <v>6.823404255319149</v>
      </c>
      <c r="H110" s="45">
        <f t="shared" si="15"/>
        <v>81.880851063829695</v>
      </c>
      <c r="I110" s="93">
        <f>'Facility Master'!Q25</f>
        <v>7.6999999999999999E-2</v>
      </c>
      <c r="J110" s="94">
        <f t="shared" si="19"/>
        <v>92</v>
      </c>
      <c r="K110" s="45">
        <f t="shared" si="16"/>
        <v>1.7215916292626037</v>
      </c>
      <c r="L110" s="45">
        <f t="shared" si="17"/>
        <v>8.544995884581752</v>
      </c>
    </row>
    <row r="111" spans="2:12" ht="15.75" customHeight="1" x14ac:dyDescent="0.3">
      <c r="B111" s="95">
        <v>40</v>
      </c>
      <c r="C111" s="67">
        <v>48944</v>
      </c>
      <c r="D111" s="95" t="s">
        <v>557</v>
      </c>
      <c r="E111" s="60">
        <f t="shared" si="18"/>
        <v>81.880851063829695</v>
      </c>
      <c r="F111" s="60">
        <f>IF(AND('Facility Master'!W25&gt;C110,'Facility Master'!W25&lt;=C111),'Facility Master'!J25,0)</f>
        <v>0</v>
      </c>
      <c r="G111" s="60">
        <f>IFERROR(IF(AND('Facility Master'!X25&lt;&gt;"-",C111&gt;='Facility Master'!X25,C111&lt;='Facility Master'!Y25),MIN(E111+F111,'Facility Master'!J25/'Facility Master'!V25),0),0)</f>
        <v>6.823404255319149</v>
      </c>
      <c r="H111" s="60">
        <f t="shared" si="15"/>
        <v>75.057446808510548</v>
      </c>
      <c r="I111" s="96">
        <f>'Facility Master'!Q25</f>
        <v>7.6999999999999999E-2</v>
      </c>
      <c r="J111" s="97">
        <f t="shared" si="19"/>
        <v>92</v>
      </c>
      <c r="K111" s="60">
        <f t="shared" si="16"/>
        <v>1.5891615039347109</v>
      </c>
      <c r="L111" s="60">
        <f t="shared" si="17"/>
        <v>8.4125657592538605</v>
      </c>
    </row>
    <row r="112" spans="2:12" ht="15.75" customHeight="1" x14ac:dyDescent="0.3">
      <c r="B112" s="92">
        <v>41</v>
      </c>
      <c r="C112" s="53">
        <v>49034</v>
      </c>
      <c r="D112" s="92" t="s">
        <v>558</v>
      </c>
      <c r="E112" s="45">
        <f t="shared" si="18"/>
        <v>75.057446808510548</v>
      </c>
      <c r="F112" s="45">
        <f>IF(AND('Facility Master'!W25&gt;C111,'Facility Master'!W25&lt;=C112),'Facility Master'!J25,0)</f>
        <v>0</v>
      </c>
      <c r="G112" s="45">
        <f>IFERROR(IF(AND('Facility Master'!X25&lt;&gt;"-",C112&gt;='Facility Master'!X25,C112&lt;='Facility Master'!Y25),MIN(E112+F112,'Facility Master'!J25/'Facility Master'!V25),0),0)</f>
        <v>6.823404255319149</v>
      </c>
      <c r="H112" s="45">
        <f t="shared" si="15"/>
        <v>68.234042553191401</v>
      </c>
      <c r="I112" s="93">
        <f>'Facility Master'!Q25</f>
        <v>7.6999999999999999E-2</v>
      </c>
      <c r="J112" s="94">
        <f t="shared" si="19"/>
        <v>90</v>
      </c>
      <c r="K112" s="45">
        <f t="shared" si="16"/>
        <v>1.4250633051588442</v>
      </c>
      <c r="L112" s="45">
        <f t="shared" si="17"/>
        <v>8.2484675604779927</v>
      </c>
    </row>
    <row r="113" spans="2:12" ht="15.75" customHeight="1" x14ac:dyDescent="0.3">
      <c r="B113" s="95">
        <v>42</v>
      </c>
      <c r="C113" s="67">
        <v>49125</v>
      </c>
      <c r="D113" s="95" t="s">
        <v>559</v>
      </c>
      <c r="E113" s="60">
        <f t="shared" si="18"/>
        <v>68.234042553191401</v>
      </c>
      <c r="F113" s="60">
        <f>IF(AND('Facility Master'!W25&gt;C112,'Facility Master'!W25&lt;=C113),'Facility Master'!J25,0)</f>
        <v>0</v>
      </c>
      <c r="G113" s="60">
        <f>IFERROR(IF(AND('Facility Master'!X25&lt;&gt;"-",C113&gt;='Facility Master'!X25,C113&lt;='Facility Master'!Y25),MIN(E113+F113,'Facility Master'!J25/'Facility Master'!V25),0),0)</f>
        <v>6.823404255319149</v>
      </c>
      <c r="H113" s="60">
        <f t="shared" si="15"/>
        <v>61.410638297872254</v>
      </c>
      <c r="I113" s="96">
        <f>'Facility Master'!Q25</f>
        <v>7.6999999999999999E-2</v>
      </c>
      <c r="J113" s="97">
        <f t="shared" si="19"/>
        <v>91</v>
      </c>
      <c r="K113" s="60">
        <f t="shared" si="16"/>
        <v>1.3099066744389376</v>
      </c>
      <c r="L113" s="60">
        <f t="shared" si="17"/>
        <v>8.1333109297580872</v>
      </c>
    </row>
    <row r="114" spans="2:12" ht="15.75" customHeight="1" x14ac:dyDescent="0.3">
      <c r="B114" s="92">
        <v>43</v>
      </c>
      <c r="C114" s="53">
        <v>49217</v>
      </c>
      <c r="D114" s="92" t="s">
        <v>560</v>
      </c>
      <c r="E114" s="45">
        <f t="shared" si="18"/>
        <v>61.410638297872254</v>
      </c>
      <c r="F114" s="45">
        <f>IF(AND('Facility Master'!W25&gt;C113,'Facility Master'!W25&lt;=C114),'Facility Master'!J25,0)</f>
        <v>0</v>
      </c>
      <c r="G114" s="45">
        <f>IFERROR(IF(AND('Facility Master'!X25&lt;&gt;"-",C114&gt;='Facility Master'!X25,C114&lt;='Facility Master'!Y25),MIN(E114+F114,'Facility Master'!J25/'Facility Master'!V25),0),0)</f>
        <v>6.823404255319149</v>
      </c>
      <c r="H114" s="45">
        <f t="shared" si="15"/>
        <v>54.587234042553106</v>
      </c>
      <c r="I114" s="93">
        <f>'Facility Master'!Q25</f>
        <v>7.6999999999999999E-2</v>
      </c>
      <c r="J114" s="94">
        <f t="shared" si="19"/>
        <v>92</v>
      </c>
      <c r="K114" s="45">
        <f t="shared" si="16"/>
        <v>1.191871127951033</v>
      </c>
      <c r="L114" s="45">
        <f t="shared" si="17"/>
        <v>8.0152753832701826</v>
      </c>
    </row>
    <row r="115" spans="2:12" ht="15.75" customHeight="1" x14ac:dyDescent="0.3">
      <c r="B115" s="95">
        <v>44</v>
      </c>
      <c r="C115" s="67">
        <v>49309</v>
      </c>
      <c r="D115" s="95" t="s">
        <v>561</v>
      </c>
      <c r="E115" s="60">
        <f t="shared" si="18"/>
        <v>54.587234042553106</v>
      </c>
      <c r="F115" s="60">
        <f>IF(AND('Facility Master'!W25&gt;C114,'Facility Master'!W25&lt;=C115),'Facility Master'!J25,0)</f>
        <v>0</v>
      </c>
      <c r="G115" s="60">
        <f>IFERROR(IF(AND('Facility Master'!X25&lt;&gt;"-",C115&gt;='Facility Master'!X25,C115&lt;='Facility Master'!Y25),MIN(E115+F115,'Facility Master'!J25/'Facility Master'!V25),0),0)</f>
        <v>6.823404255319149</v>
      </c>
      <c r="H115" s="60">
        <f t="shared" si="15"/>
        <v>47.763829787233959</v>
      </c>
      <c r="I115" s="96">
        <f>'Facility Master'!Q25</f>
        <v>7.6999999999999999E-2</v>
      </c>
      <c r="J115" s="97">
        <f t="shared" si="19"/>
        <v>92</v>
      </c>
      <c r="K115" s="60">
        <f t="shared" si="16"/>
        <v>1.0594410026231402</v>
      </c>
      <c r="L115" s="60">
        <f t="shared" si="17"/>
        <v>7.8828452579422894</v>
      </c>
    </row>
    <row r="116" spans="2:12" ht="15.75" customHeight="1" x14ac:dyDescent="0.3">
      <c r="B116" s="92">
        <v>45</v>
      </c>
      <c r="C116" s="53">
        <v>49399</v>
      </c>
      <c r="D116" s="92" t="s">
        <v>562</v>
      </c>
      <c r="E116" s="45">
        <f t="shared" si="18"/>
        <v>47.763829787233959</v>
      </c>
      <c r="F116" s="45">
        <f>IF(AND('Facility Master'!W25&gt;C115,'Facility Master'!W25&lt;=C116),'Facility Master'!J25,0)</f>
        <v>0</v>
      </c>
      <c r="G116" s="45">
        <f>IFERROR(IF(AND('Facility Master'!X25&lt;&gt;"-",C116&gt;='Facility Master'!X25,C116&lt;='Facility Master'!Y25),MIN(E116+F116,'Facility Master'!J25/'Facility Master'!V25),0),0)</f>
        <v>6.823404255319149</v>
      </c>
      <c r="H116" s="45">
        <f t="shared" si="15"/>
        <v>40.940425531914812</v>
      </c>
      <c r="I116" s="93">
        <f>'Facility Master'!Q25</f>
        <v>7.6999999999999999E-2</v>
      </c>
      <c r="J116" s="94">
        <f t="shared" si="19"/>
        <v>90</v>
      </c>
      <c r="K116" s="45">
        <f t="shared" si="16"/>
        <v>0.90685846691926397</v>
      </c>
      <c r="L116" s="45">
        <f t="shared" si="17"/>
        <v>7.7302627222384128</v>
      </c>
    </row>
    <row r="117" spans="2:12" ht="15.75" customHeight="1" x14ac:dyDescent="0.3">
      <c r="B117" s="95">
        <v>46</v>
      </c>
      <c r="C117" s="67">
        <v>49490</v>
      </c>
      <c r="D117" s="95" t="s">
        <v>563</v>
      </c>
      <c r="E117" s="60">
        <f t="shared" si="18"/>
        <v>40.940425531914812</v>
      </c>
      <c r="F117" s="60">
        <f>IF(AND('Facility Master'!W25&gt;C116,'Facility Master'!W25&lt;=C117),'Facility Master'!J25,0)</f>
        <v>0</v>
      </c>
      <c r="G117" s="60">
        <f>IFERROR(IF(AND('Facility Master'!X25&lt;&gt;"-",C117&gt;='Facility Master'!X25,C117&lt;='Facility Master'!Y25),MIN(E117+F117,'Facility Master'!J25/'Facility Master'!V25),0),0)</f>
        <v>6.823404255319149</v>
      </c>
      <c r="H117" s="60">
        <f t="shared" si="15"/>
        <v>34.117021276595665</v>
      </c>
      <c r="I117" s="96">
        <f>'Facility Master'!Q25</f>
        <v>7.6999999999999999E-2</v>
      </c>
      <c r="J117" s="97">
        <f t="shared" si="19"/>
        <v>91</v>
      </c>
      <c r="K117" s="60">
        <f t="shared" si="16"/>
        <v>0.78594400466336189</v>
      </c>
      <c r="L117" s="60">
        <f t="shared" si="17"/>
        <v>7.6093482599825109</v>
      </c>
    </row>
    <row r="118" spans="2:12" ht="15.75" customHeight="1" x14ac:dyDescent="0.3">
      <c r="B118" s="92">
        <v>47</v>
      </c>
      <c r="C118" s="53">
        <v>49582</v>
      </c>
      <c r="D118" s="92" t="s">
        <v>564</v>
      </c>
      <c r="E118" s="45">
        <f t="shared" si="18"/>
        <v>34.117021276595665</v>
      </c>
      <c r="F118" s="45">
        <f>IF(AND('Facility Master'!W25&gt;C117,'Facility Master'!W25&lt;=C118),'Facility Master'!J25,0)</f>
        <v>0</v>
      </c>
      <c r="G118" s="45">
        <f>IFERROR(IF(AND('Facility Master'!X25&lt;&gt;"-",C118&gt;='Facility Master'!X25,C118&lt;='Facility Master'!Y25),MIN(E118+F118,'Facility Master'!J25/'Facility Master'!V25),0),0)</f>
        <v>6.823404255319149</v>
      </c>
      <c r="H118" s="45">
        <f t="shared" si="15"/>
        <v>27.293617021276518</v>
      </c>
      <c r="I118" s="93">
        <f>'Facility Master'!Q25</f>
        <v>7.6999999999999999E-2</v>
      </c>
      <c r="J118" s="94">
        <f t="shared" si="19"/>
        <v>92</v>
      </c>
      <c r="K118" s="45">
        <f t="shared" si="16"/>
        <v>0.66215062663946211</v>
      </c>
      <c r="L118" s="45">
        <f t="shared" si="17"/>
        <v>7.4855548819586115</v>
      </c>
    </row>
    <row r="119" spans="2:12" ht="15.75" customHeight="1" x14ac:dyDescent="0.3">
      <c r="B119" s="95">
        <v>48</v>
      </c>
      <c r="C119" s="67">
        <v>49674</v>
      </c>
      <c r="D119" s="95" t="s">
        <v>565</v>
      </c>
      <c r="E119" s="60">
        <f t="shared" si="18"/>
        <v>27.293617021276518</v>
      </c>
      <c r="F119" s="60">
        <f>IF(AND('Facility Master'!W25&gt;C118,'Facility Master'!W25&lt;=C119),'Facility Master'!J25,0)</f>
        <v>0</v>
      </c>
      <c r="G119" s="60">
        <f>IFERROR(IF(AND('Facility Master'!X25&lt;&gt;"-",C119&gt;='Facility Master'!X25,C119&lt;='Facility Master'!Y25),MIN(E119+F119,'Facility Master'!J25/'Facility Master'!V25),0),0)</f>
        <v>6.823404255319149</v>
      </c>
      <c r="H119" s="60">
        <f t="shared" si="15"/>
        <v>20.47021276595737</v>
      </c>
      <c r="I119" s="96">
        <f>'Facility Master'!Q25</f>
        <v>7.6999999999999999E-2</v>
      </c>
      <c r="J119" s="97">
        <f t="shared" si="19"/>
        <v>92</v>
      </c>
      <c r="K119" s="60">
        <f t="shared" si="16"/>
        <v>0.52972050131156945</v>
      </c>
      <c r="L119" s="60">
        <f t="shared" si="17"/>
        <v>7.3531247566307183</v>
      </c>
    </row>
    <row r="120" spans="2:12" ht="15.75" customHeight="1" x14ac:dyDescent="0.3">
      <c r="B120" s="92">
        <v>49</v>
      </c>
      <c r="C120" s="53">
        <v>49765</v>
      </c>
      <c r="D120" s="92" t="s">
        <v>566</v>
      </c>
      <c r="E120" s="45">
        <f t="shared" si="18"/>
        <v>20.47021276595737</v>
      </c>
      <c r="F120" s="45">
        <f>IF(AND('Facility Master'!W25&gt;C119,'Facility Master'!W25&lt;=C120),'Facility Master'!J25,0)</f>
        <v>0</v>
      </c>
      <c r="G120" s="45">
        <f>IFERROR(IF(AND('Facility Master'!X25&lt;&gt;"-",C120&gt;='Facility Master'!X25,C120&lt;='Facility Master'!Y25),MIN(E120+F120,'Facility Master'!J25/'Facility Master'!V25),0),0)</f>
        <v>6.823404255319149</v>
      </c>
      <c r="H120" s="45">
        <f t="shared" si="15"/>
        <v>13.646808510638222</v>
      </c>
      <c r="I120" s="93">
        <f>'Facility Master'!Q25</f>
        <v>7.6999999999999999E-2</v>
      </c>
      <c r="J120" s="94">
        <f t="shared" si="19"/>
        <v>91</v>
      </c>
      <c r="K120" s="45">
        <f t="shared" si="16"/>
        <v>0.39297200233168028</v>
      </c>
      <c r="L120" s="45">
        <f t="shared" si="17"/>
        <v>7.216376257650829</v>
      </c>
    </row>
    <row r="121" spans="2:12" ht="15.75" customHeight="1" x14ac:dyDescent="0.3">
      <c r="B121" s="95">
        <v>50</v>
      </c>
      <c r="C121" s="67">
        <v>49856</v>
      </c>
      <c r="D121" s="95" t="s">
        <v>567</v>
      </c>
      <c r="E121" s="60">
        <f t="shared" si="18"/>
        <v>13.646808510638222</v>
      </c>
      <c r="F121" s="60">
        <f>IF(AND('Facility Master'!W25&gt;C120,'Facility Master'!W25&lt;=C121),'Facility Master'!J25,0)</f>
        <v>0</v>
      </c>
      <c r="G121" s="60">
        <f>IFERROR(IF(AND('Facility Master'!X25&lt;&gt;"-",C121&gt;='Facility Master'!X25,C121&lt;='Facility Master'!Y25),MIN(E121+F121,'Facility Master'!J25/'Facility Master'!V25),0),0)</f>
        <v>6.823404255319149</v>
      </c>
      <c r="H121" s="60">
        <f t="shared" si="15"/>
        <v>6.8234042553190726</v>
      </c>
      <c r="I121" s="96">
        <f>'Facility Master'!Q25</f>
        <v>7.6999999999999999E-2</v>
      </c>
      <c r="J121" s="97">
        <f t="shared" si="19"/>
        <v>91</v>
      </c>
      <c r="K121" s="60">
        <f t="shared" si="16"/>
        <v>0.2619813348877863</v>
      </c>
      <c r="L121" s="60">
        <f t="shared" si="17"/>
        <v>7.0853855902069354</v>
      </c>
    </row>
    <row r="122" spans="2:12" ht="15.75" customHeight="1" x14ac:dyDescent="0.3">
      <c r="B122" s="92">
        <v>51</v>
      </c>
      <c r="C122" s="53">
        <v>49948</v>
      </c>
      <c r="D122" s="92" t="s">
        <v>568</v>
      </c>
      <c r="E122" s="45">
        <f t="shared" si="18"/>
        <v>6.8234042553190726</v>
      </c>
      <c r="F122" s="45">
        <f>IF(AND('Facility Master'!W25&gt;C121,'Facility Master'!W25&lt;=C122),'Facility Master'!J25,0)</f>
        <v>0</v>
      </c>
      <c r="G122" s="45">
        <f>IFERROR(IF(AND('Facility Master'!X25&lt;&gt;"-",C122&gt;='Facility Master'!X25,C122&lt;='Facility Master'!Y25),MIN(E122+F122,'Facility Master'!J25/'Facility Master'!V25),0),0)</f>
        <v>6.8234042553190726</v>
      </c>
      <c r="H122" s="45">
        <f t="shared" si="15"/>
        <v>0</v>
      </c>
      <c r="I122" s="93">
        <f>'Facility Master'!Q25</f>
        <v>7.6999999999999999E-2</v>
      </c>
      <c r="J122" s="94">
        <f t="shared" si="19"/>
        <v>92</v>
      </c>
      <c r="K122" s="45">
        <f t="shared" si="16"/>
        <v>0.13243012532789128</v>
      </c>
      <c r="L122" s="45">
        <f t="shared" si="17"/>
        <v>6.955834380646964</v>
      </c>
    </row>
    <row r="123" spans="2:12" ht="15.75" customHeight="1" x14ac:dyDescent="0.3">
      <c r="B123" s="95">
        <v>52</v>
      </c>
      <c r="C123" s="67">
        <v>50040</v>
      </c>
      <c r="D123" s="95" t="s">
        <v>569</v>
      </c>
      <c r="E123" s="60">
        <f t="shared" si="18"/>
        <v>0</v>
      </c>
      <c r="F123" s="60">
        <f>IF(AND('Facility Master'!W25&gt;C122,'Facility Master'!W25&lt;=C123),'Facility Master'!J25,0)</f>
        <v>0</v>
      </c>
      <c r="G123" s="60">
        <f>IFERROR(IF(AND('Facility Master'!X25&lt;&gt;"-",C123&gt;='Facility Master'!X25,C123&lt;='Facility Master'!Y25),MIN(E123+F123,'Facility Master'!J25/'Facility Master'!V25),0),0)</f>
        <v>0</v>
      </c>
      <c r="H123" s="60">
        <f t="shared" si="15"/>
        <v>0</v>
      </c>
      <c r="I123" s="96">
        <f>'Facility Master'!Q25</f>
        <v>7.6999999999999999E-2</v>
      </c>
      <c r="J123" s="97">
        <f t="shared" si="19"/>
        <v>92</v>
      </c>
      <c r="K123" s="60">
        <f t="shared" si="16"/>
        <v>0</v>
      </c>
      <c r="L123" s="60">
        <f t="shared" si="17"/>
        <v>0</v>
      </c>
    </row>
    <row r="124" spans="2:12" ht="15.75" customHeight="1" x14ac:dyDescent="0.3">
      <c r="B124" s="92">
        <v>53</v>
      </c>
      <c r="C124" s="53">
        <v>50130</v>
      </c>
      <c r="D124" s="92" t="s">
        <v>570</v>
      </c>
      <c r="E124" s="45">
        <f t="shared" si="18"/>
        <v>0</v>
      </c>
      <c r="F124" s="45">
        <f>IF(AND('Facility Master'!W25&gt;C123,'Facility Master'!W25&lt;=C124),'Facility Master'!J25,0)</f>
        <v>0</v>
      </c>
      <c r="G124" s="45">
        <f>IFERROR(IF(AND('Facility Master'!X25&lt;&gt;"-",C124&gt;='Facility Master'!X25,C124&lt;='Facility Master'!Y25),MIN(E124+F124,'Facility Master'!J25/'Facility Master'!V25),0),0)</f>
        <v>0</v>
      </c>
      <c r="H124" s="45">
        <f t="shared" si="15"/>
        <v>0</v>
      </c>
      <c r="I124" s="93">
        <f>'Facility Master'!Q25</f>
        <v>7.6999999999999999E-2</v>
      </c>
      <c r="J124" s="94">
        <f t="shared" si="19"/>
        <v>90</v>
      </c>
      <c r="K124" s="45">
        <f t="shared" si="16"/>
        <v>0</v>
      </c>
      <c r="L124" s="45">
        <f t="shared" si="17"/>
        <v>0</v>
      </c>
    </row>
    <row r="125" spans="2:12" ht="19.5" customHeight="1" x14ac:dyDescent="0.3">
      <c r="B125" s="319" t="s">
        <v>419</v>
      </c>
      <c r="C125" s="319"/>
      <c r="D125" s="319"/>
      <c r="E125" s="71"/>
      <c r="F125" s="72">
        <f>SUM(F72:F124)</f>
        <v>320.7</v>
      </c>
      <c r="G125" s="72">
        <f>SUM(G72:G124)</f>
        <v>320.7</v>
      </c>
      <c r="H125" s="71"/>
      <c r="I125" s="71"/>
      <c r="J125" s="71"/>
      <c r="K125" s="72">
        <f>SUM(K72:K124)</f>
        <v>148.18499186826</v>
      </c>
      <c r="L125" s="72">
        <f>SUM(L72:L124)</f>
        <v>468.88499186825987</v>
      </c>
    </row>
    <row r="126" spans="2:12" ht="21.75" customHeight="1" x14ac:dyDescent="0.3">
      <c r="B126" s="320" t="s">
        <v>571</v>
      </c>
      <c r="C126" s="320"/>
      <c r="D126" s="320"/>
      <c r="E126" s="98" t="s">
        <v>572</v>
      </c>
      <c r="F126" s="28">
        <f>SUMIFS(G72:G124,C72:C124,"&lt;="&amp;AsOfDate)</f>
        <v>34.117021276595743</v>
      </c>
      <c r="G126" s="98" t="s">
        <v>573</v>
      </c>
      <c r="H126" s="28">
        <f>'Facility Master'!J25-F126</f>
        <v>286.58297872340427</v>
      </c>
    </row>
    <row r="128" spans="2:12" s="126" customFormat="1" ht="7.95" customHeight="1" x14ac:dyDescent="0.3"/>
    <row r="129" spans="2:12" ht="27.75" customHeight="1" x14ac:dyDescent="0.3">
      <c r="B129" s="331" t="s">
        <v>575</v>
      </c>
      <c r="C129" s="331"/>
      <c r="D129" s="331"/>
      <c r="E129" s="331"/>
      <c r="F129" s="331"/>
      <c r="G129" s="331"/>
      <c r="H129" s="331"/>
      <c r="I129" s="331"/>
      <c r="J129" s="331"/>
      <c r="K129" s="331"/>
      <c r="L129" s="331"/>
    </row>
    <row r="130" spans="2:12" ht="15" customHeight="1" x14ac:dyDescent="0.3">
      <c r="B130" s="328" t="s">
        <v>501</v>
      </c>
      <c r="C130" s="328" t="s">
        <v>502</v>
      </c>
      <c r="D130" s="328" t="s">
        <v>503</v>
      </c>
      <c r="E130" s="328" t="s">
        <v>504</v>
      </c>
      <c r="F130" s="328" t="s">
        <v>505</v>
      </c>
      <c r="G130" s="328" t="s">
        <v>506</v>
      </c>
      <c r="H130" s="328" t="s">
        <v>507</v>
      </c>
      <c r="I130" s="328" t="s">
        <v>508</v>
      </c>
      <c r="J130" s="330"/>
      <c r="K130" s="330"/>
      <c r="L130" s="330"/>
    </row>
    <row r="131" spans="2:12" ht="15" customHeight="1" x14ac:dyDescent="0.3">
      <c r="B131" s="88">
        <f>'Facility Master'!J26</f>
        <v>150</v>
      </c>
      <c r="C131" s="89">
        <f>'Facility Master'!W26</f>
        <v>45887</v>
      </c>
      <c r="D131" s="90">
        <f>'Facility Master'!S26</f>
        <v>12</v>
      </c>
      <c r="E131" s="89">
        <f>'Facility Master'!X26</f>
        <v>46252</v>
      </c>
      <c r="F131" s="89">
        <f>'Facility Master'!Y26</f>
        <v>48809</v>
      </c>
      <c r="G131" s="90">
        <f>'Facility Master'!V26</f>
        <v>28</v>
      </c>
      <c r="H131" s="88">
        <f>'Facility Master'!J26/'Facility Master'!V26</f>
        <v>5.3571428571428568</v>
      </c>
      <c r="I131" s="91">
        <f>'Facility Master'!Q26</f>
        <v>8.6000000000000007E-2</v>
      </c>
    </row>
    <row r="133" spans="2:12" ht="36" customHeight="1" x14ac:dyDescent="0.3">
      <c r="B133" s="26" t="s">
        <v>422</v>
      </c>
      <c r="C133" s="26" t="s">
        <v>509</v>
      </c>
      <c r="D133" s="26" t="s">
        <v>510</v>
      </c>
      <c r="E133" s="26" t="s">
        <v>511</v>
      </c>
      <c r="F133" s="26" t="s">
        <v>502</v>
      </c>
      <c r="G133" s="26" t="s">
        <v>512</v>
      </c>
      <c r="H133" s="26" t="s">
        <v>513</v>
      </c>
      <c r="I133" s="26" t="s">
        <v>514</v>
      </c>
      <c r="J133" s="26" t="s">
        <v>515</v>
      </c>
      <c r="K133" s="26" t="s">
        <v>516</v>
      </c>
      <c r="L133" s="26" t="s">
        <v>517</v>
      </c>
    </row>
    <row r="134" spans="2:12" ht="15.75" customHeight="1" x14ac:dyDescent="0.3">
      <c r="B134" s="92">
        <v>1</v>
      </c>
      <c r="C134" s="53">
        <v>45382</v>
      </c>
      <c r="D134" s="92" t="s">
        <v>518</v>
      </c>
      <c r="E134" s="45">
        <v>0</v>
      </c>
      <c r="F134" s="45">
        <f>IF(C134&gt;='Facility Master'!W26,'Facility Master'!J26,0)</f>
        <v>0</v>
      </c>
      <c r="G134" s="45">
        <f>IFERROR(IF(AND('Facility Master'!X26&lt;&gt;"-",C134&gt;='Facility Master'!X26,C134&lt;='Facility Master'!Y26),MIN(E134+F134,'Facility Master'!J26/'Facility Master'!V26),0),0)</f>
        <v>0</v>
      </c>
      <c r="H134" s="45">
        <f t="shared" ref="H134:H165" si="20">E134+F134-G134</f>
        <v>0</v>
      </c>
      <c r="I134" s="93">
        <f>'Facility Master'!Q26</f>
        <v>8.6000000000000007E-2</v>
      </c>
      <c r="J134" s="94">
        <f>IF(AND(E134=0,F134=0),0,IF('Facility Master'!W26&gt;=C134,0,C134-MAX('Facility Master'!W26,EDATE(C134,-3))))</f>
        <v>0</v>
      </c>
      <c r="K134" s="45">
        <f t="shared" ref="K134:K165" si="21">IFERROR(E134*I134*J134/DaysInYear,0)</f>
        <v>0</v>
      </c>
      <c r="L134" s="45">
        <f t="shared" ref="L134:L165" si="22">G134+K134</f>
        <v>0</v>
      </c>
    </row>
    <row r="135" spans="2:12" ht="15.75" customHeight="1" x14ac:dyDescent="0.3">
      <c r="B135" s="95">
        <v>2</v>
      </c>
      <c r="C135" s="67">
        <v>45473</v>
      </c>
      <c r="D135" s="95" t="s">
        <v>519</v>
      </c>
      <c r="E135" s="60">
        <f t="shared" ref="E135:E166" si="23">H134</f>
        <v>0</v>
      </c>
      <c r="F135" s="60">
        <f>IF(AND('Facility Master'!W26&gt;C134,'Facility Master'!W26&lt;=C135),'Facility Master'!J26,0)</f>
        <v>0</v>
      </c>
      <c r="G135" s="60">
        <f>IFERROR(IF(AND('Facility Master'!X26&lt;&gt;"-",C135&gt;='Facility Master'!X26,C135&lt;='Facility Master'!Y26),MIN(E135+F135,'Facility Master'!J26/'Facility Master'!V26),0),0)</f>
        <v>0</v>
      </c>
      <c r="H135" s="60">
        <f t="shared" si="20"/>
        <v>0</v>
      </c>
      <c r="I135" s="96">
        <f>'Facility Master'!Q26</f>
        <v>8.6000000000000007E-2</v>
      </c>
      <c r="J135" s="97">
        <f t="shared" ref="J135:J166" si="24">C135-C134</f>
        <v>91</v>
      </c>
      <c r="K135" s="60">
        <f t="shared" si="21"/>
        <v>0</v>
      </c>
      <c r="L135" s="60">
        <f t="shared" si="22"/>
        <v>0</v>
      </c>
    </row>
    <row r="136" spans="2:12" ht="15.75" customHeight="1" x14ac:dyDescent="0.3">
      <c r="B136" s="92">
        <v>3</v>
      </c>
      <c r="C136" s="53">
        <v>45565</v>
      </c>
      <c r="D136" s="92" t="s">
        <v>520</v>
      </c>
      <c r="E136" s="45">
        <f t="shared" si="23"/>
        <v>0</v>
      </c>
      <c r="F136" s="45">
        <f>IF(AND('Facility Master'!W26&gt;C135,'Facility Master'!W26&lt;=C136),'Facility Master'!J26,0)</f>
        <v>0</v>
      </c>
      <c r="G136" s="45">
        <f>IFERROR(IF(AND('Facility Master'!X26&lt;&gt;"-",C136&gt;='Facility Master'!X26,C136&lt;='Facility Master'!Y26),MIN(E136+F136,'Facility Master'!J26/'Facility Master'!V26),0),0)</f>
        <v>0</v>
      </c>
      <c r="H136" s="45">
        <f t="shared" si="20"/>
        <v>0</v>
      </c>
      <c r="I136" s="93">
        <f>'Facility Master'!Q26</f>
        <v>8.6000000000000007E-2</v>
      </c>
      <c r="J136" s="94">
        <f t="shared" si="24"/>
        <v>92</v>
      </c>
      <c r="K136" s="45">
        <f t="shared" si="21"/>
        <v>0</v>
      </c>
      <c r="L136" s="45">
        <f t="shared" si="22"/>
        <v>0</v>
      </c>
    </row>
    <row r="137" spans="2:12" ht="15.75" customHeight="1" x14ac:dyDescent="0.3">
      <c r="B137" s="95">
        <v>4</v>
      </c>
      <c r="C137" s="67">
        <v>45657</v>
      </c>
      <c r="D137" s="95" t="s">
        <v>521</v>
      </c>
      <c r="E137" s="60">
        <f t="shared" si="23"/>
        <v>0</v>
      </c>
      <c r="F137" s="60">
        <f>IF(AND('Facility Master'!W26&gt;C136,'Facility Master'!W26&lt;=C137),'Facility Master'!J26,0)</f>
        <v>0</v>
      </c>
      <c r="G137" s="60">
        <f>IFERROR(IF(AND('Facility Master'!X26&lt;&gt;"-",C137&gt;='Facility Master'!X26,C137&lt;='Facility Master'!Y26),MIN(E137+F137,'Facility Master'!J26/'Facility Master'!V26),0),0)</f>
        <v>0</v>
      </c>
      <c r="H137" s="60">
        <f t="shared" si="20"/>
        <v>0</v>
      </c>
      <c r="I137" s="96">
        <f>'Facility Master'!Q26</f>
        <v>8.6000000000000007E-2</v>
      </c>
      <c r="J137" s="97">
        <f t="shared" si="24"/>
        <v>92</v>
      </c>
      <c r="K137" s="60">
        <f t="shared" si="21"/>
        <v>0</v>
      </c>
      <c r="L137" s="60">
        <f t="shared" si="22"/>
        <v>0</v>
      </c>
    </row>
    <row r="138" spans="2:12" ht="15.75" customHeight="1" x14ac:dyDescent="0.3">
      <c r="B138" s="92">
        <v>5</v>
      </c>
      <c r="C138" s="53">
        <v>45747</v>
      </c>
      <c r="D138" s="92" t="s">
        <v>522</v>
      </c>
      <c r="E138" s="45">
        <f t="shared" si="23"/>
        <v>0</v>
      </c>
      <c r="F138" s="45">
        <f>IF(AND('Facility Master'!W26&gt;C137,'Facility Master'!W26&lt;=C138),'Facility Master'!J26,0)</f>
        <v>0</v>
      </c>
      <c r="G138" s="45">
        <f>IFERROR(IF(AND('Facility Master'!X26&lt;&gt;"-",C138&gt;='Facility Master'!X26,C138&lt;='Facility Master'!Y26),MIN(E138+F138,'Facility Master'!J26/'Facility Master'!V26),0),0)</f>
        <v>0</v>
      </c>
      <c r="H138" s="45">
        <f t="shared" si="20"/>
        <v>0</v>
      </c>
      <c r="I138" s="93">
        <f>'Facility Master'!Q26</f>
        <v>8.6000000000000007E-2</v>
      </c>
      <c r="J138" s="94">
        <f t="shared" si="24"/>
        <v>90</v>
      </c>
      <c r="K138" s="45">
        <f t="shared" si="21"/>
        <v>0</v>
      </c>
      <c r="L138" s="45">
        <f t="shared" si="22"/>
        <v>0</v>
      </c>
    </row>
    <row r="139" spans="2:12" ht="15.75" customHeight="1" x14ac:dyDescent="0.3">
      <c r="B139" s="95">
        <v>6</v>
      </c>
      <c r="C139" s="67">
        <v>45838</v>
      </c>
      <c r="D139" s="95" t="s">
        <v>523</v>
      </c>
      <c r="E139" s="60">
        <f t="shared" si="23"/>
        <v>0</v>
      </c>
      <c r="F139" s="60">
        <f>IF(AND('Facility Master'!W26&gt;C138,'Facility Master'!W26&lt;=C139),'Facility Master'!J26,0)</f>
        <v>0</v>
      </c>
      <c r="G139" s="60">
        <f>IFERROR(IF(AND('Facility Master'!X26&lt;&gt;"-",C139&gt;='Facility Master'!X26,C139&lt;='Facility Master'!Y26),MIN(E139+F139,'Facility Master'!J26/'Facility Master'!V26),0),0)</f>
        <v>0</v>
      </c>
      <c r="H139" s="60">
        <f t="shared" si="20"/>
        <v>0</v>
      </c>
      <c r="I139" s="96">
        <f>'Facility Master'!Q26</f>
        <v>8.6000000000000007E-2</v>
      </c>
      <c r="J139" s="97">
        <f t="shared" si="24"/>
        <v>91</v>
      </c>
      <c r="K139" s="60">
        <f t="shared" si="21"/>
        <v>0</v>
      </c>
      <c r="L139" s="60">
        <f t="shared" si="22"/>
        <v>0</v>
      </c>
    </row>
    <row r="140" spans="2:12" ht="15.75" customHeight="1" x14ac:dyDescent="0.3">
      <c r="B140" s="92">
        <v>7</v>
      </c>
      <c r="C140" s="53">
        <v>45930</v>
      </c>
      <c r="D140" s="92" t="s">
        <v>524</v>
      </c>
      <c r="E140" s="45">
        <f t="shared" si="23"/>
        <v>0</v>
      </c>
      <c r="F140" s="45">
        <f>IF(AND('Facility Master'!W26&gt;C139,'Facility Master'!W26&lt;=C140),'Facility Master'!J26,0)</f>
        <v>150</v>
      </c>
      <c r="G140" s="45">
        <f>IFERROR(IF(AND('Facility Master'!X26&lt;&gt;"-",C140&gt;='Facility Master'!X26,C140&lt;='Facility Master'!Y26),MIN(E140+F140,'Facility Master'!J26/'Facility Master'!V26),0),0)</f>
        <v>0</v>
      </c>
      <c r="H140" s="45">
        <f t="shared" si="20"/>
        <v>150</v>
      </c>
      <c r="I140" s="93">
        <f>'Facility Master'!Q26</f>
        <v>8.6000000000000007E-2</v>
      </c>
      <c r="J140" s="94">
        <f t="shared" si="24"/>
        <v>92</v>
      </c>
      <c r="K140" s="45">
        <f t="shared" si="21"/>
        <v>0</v>
      </c>
      <c r="L140" s="45">
        <f t="shared" si="22"/>
        <v>0</v>
      </c>
    </row>
    <row r="141" spans="2:12" ht="15.75" customHeight="1" x14ac:dyDescent="0.3">
      <c r="B141" s="95">
        <v>8</v>
      </c>
      <c r="C141" s="67">
        <v>46022</v>
      </c>
      <c r="D141" s="95" t="s">
        <v>525</v>
      </c>
      <c r="E141" s="60">
        <f t="shared" si="23"/>
        <v>150</v>
      </c>
      <c r="F141" s="60">
        <f>IF(AND('Facility Master'!W26&gt;C140,'Facility Master'!W26&lt;=C141),'Facility Master'!J26,0)</f>
        <v>0</v>
      </c>
      <c r="G141" s="60">
        <f>IFERROR(IF(AND('Facility Master'!X26&lt;&gt;"-",C141&gt;='Facility Master'!X26,C141&lt;='Facility Master'!Y26),MIN(E141+F141,'Facility Master'!J26/'Facility Master'!V26),0),0)</f>
        <v>0</v>
      </c>
      <c r="H141" s="60">
        <f t="shared" si="20"/>
        <v>150</v>
      </c>
      <c r="I141" s="96">
        <f>'Facility Master'!Q26</f>
        <v>8.6000000000000007E-2</v>
      </c>
      <c r="J141" s="97">
        <f t="shared" si="24"/>
        <v>92</v>
      </c>
      <c r="K141" s="60">
        <f t="shared" si="21"/>
        <v>3.2515068493150685</v>
      </c>
      <c r="L141" s="60">
        <f t="shared" si="22"/>
        <v>3.2515068493150685</v>
      </c>
    </row>
    <row r="142" spans="2:12" ht="15.75" customHeight="1" x14ac:dyDescent="0.3">
      <c r="B142" s="92">
        <v>9</v>
      </c>
      <c r="C142" s="53">
        <v>46112</v>
      </c>
      <c r="D142" s="92" t="s">
        <v>526</v>
      </c>
      <c r="E142" s="45">
        <f t="shared" si="23"/>
        <v>150</v>
      </c>
      <c r="F142" s="45">
        <f>IF(AND('Facility Master'!W26&gt;C141,'Facility Master'!W26&lt;=C142),'Facility Master'!J26,0)</f>
        <v>0</v>
      </c>
      <c r="G142" s="45">
        <f>IFERROR(IF(AND('Facility Master'!X26&lt;&gt;"-",C142&gt;='Facility Master'!X26,C142&lt;='Facility Master'!Y26),MIN(E142+F142,'Facility Master'!J26/'Facility Master'!V26),0),0)</f>
        <v>0</v>
      </c>
      <c r="H142" s="45">
        <f t="shared" si="20"/>
        <v>150</v>
      </c>
      <c r="I142" s="93">
        <f>'Facility Master'!Q26</f>
        <v>8.6000000000000007E-2</v>
      </c>
      <c r="J142" s="94">
        <f t="shared" si="24"/>
        <v>90</v>
      </c>
      <c r="K142" s="45">
        <f t="shared" si="21"/>
        <v>3.1808219178082191</v>
      </c>
      <c r="L142" s="45">
        <f t="shared" si="22"/>
        <v>3.1808219178082191</v>
      </c>
    </row>
    <row r="143" spans="2:12" ht="15.75" customHeight="1" x14ac:dyDescent="0.3">
      <c r="B143" s="95">
        <v>10</v>
      </c>
      <c r="C143" s="67">
        <v>46203</v>
      </c>
      <c r="D143" s="95" t="s">
        <v>527</v>
      </c>
      <c r="E143" s="60">
        <f t="shared" si="23"/>
        <v>150</v>
      </c>
      <c r="F143" s="60">
        <f>IF(AND('Facility Master'!W26&gt;C142,'Facility Master'!W26&lt;=C143),'Facility Master'!J26,0)</f>
        <v>0</v>
      </c>
      <c r="G143" s="60">
        <f>IFERROR(IF(AND('Facility Master'!X26&lt;&gt;"-",C143&gt;='Facility Master'!X26,C143&lt;='Facility Master'!Y26),MIN(E143+F143,'Facility Master'!J26/'Facility Master'!V26),0),0)</f>
        <v>0</v>
      </c>
      <c r="H143" s="60">
        <f t="shared" si="20"/>
        <v>150</v>
      </c>
      <c r="I143" s="96">
        <f>'Facility Master'!Q26</f>
        <v>8.6000000000000007E-2</v>
      </c>
      <c r="J143" s="97">
        <f t="shared" si="24"/>
        <v>91</v>
      </c>
      <c r="K143" s="60">
        <f t="shared" si="21"/>
        <v>3.2161643835616442</v>
      </c>
      <c r="L143" s="60">
        <f t="shared" si="22"/>
        <v>3.2161643835616442</v>
      </c>
    </row>
    <row r="144" spans="2:12" ht="15.75" customHeight="1" x14ac:dyDescent="0.3">
      <c r="B144" s="92">
        <v>11</v>
      </c>
      <c r="C144" s="53">
        <v>46295</v>
      </c>
      <c r="D144" s="92" t="s">
        <v>528</v>
      </c>
      <c r="E144" s="45">
        <f t="shared" si="23"/>
        <v>150</v>
      </c>
      <c r="F144" s="45">
        <f>IF(AND('Facility Master'!W26&gt;C143,'Facility Master'!W26&lt;=C144),'Facility Master'!J26,0)</f>
        <v>0</v>
      </c>
      <c r="G144" s="45">
        <f>IFERROR(IF(AND('Facility Master'!X26&lt;&gt;"-",C144&gt;='Facility Master'!X26,C144&lt;='Facility Master'!Y26),MIN(E144+F144,'Facility Master'!J26/'Facility Master'!V26),0),0)</f>
        <v>5.3571428571428568</v>
      </c>
      <c r="H144" s="45">
        <f t="shared" si="20"/>
        <v>144.64285714285714</v>
      </c>
      <c r="I144" s="93">
        <f>'Facility Master'!Q26</f>
        <v>8.6000000000000007E-2</v>
      </c>
      <c r="J144" s="94">
        <f t="shared" si="24"/>
        <v>92</v>
      </c>
      <c r="K144" s="45">
        <f t="shared" si="21"/>
        <v>3.2515068493150685</v>
      </c>
      <c r="L144" s="45">
        <f t="shared" si="22"/>
        <v>8.6086497064579248</v>
      </c>
    </row>
    <row r="145" spans="2:12" ht="15.75" customHeight="1" x14ac:dyDescent="0.3">
      <c r="B145" s="95">
        <v>12</v>
      </c>
      <c r="C145" s="67">
        <v>46387</v>
      </c>
      <c r="D145" s="95" t="s">
        <v>529</v>
      </c>
      <c r="E145" s="60">
        <f t="shared" si="23"/>
        <v>144.64285714285714</v>
      </c>
      <c r="F145" s="60">
        <f>IF(AND('Facility Master'!W26&gt;C144,'Facility Master'!W26&lt;=C145),'Facility Master'!J26,0)</f>
        <v>0</v>
      </c>
      <c r="G145" s="60">
        <f>IFERROR(IF(AND('Facility Master'!X26&lt;&gt;"-",C145&gt;='Facility Master'!X26,C145&lt;='Facility Master'!Y26),MIN(E145+F145,'Facility Master'!J26/'Facility Master'!V26),0),0)</f>
        <v>5.3571428571428568</v>
      </c>
      <c r="H145" s="60">
        <f t="shared" si="20"/>
        <v>139.28571428571428</v>
      </c>
      <c r="I145" s="96">
        <f>'Facility Master'!Q26</f>
        <v>8.6000000000000007E-2</v>
      </c>
      <c r="J145" s="97">
        <f t="shared" si="24"/>
        <v>92</v>
      </c>
      <c r="K145" s="60">
        <f t="shared" si="21"/>
        <v>3.1353816046966734</v>
      </c>
      <c r="L145" s="60">
        <f t="shared" si="22"/>
        <v>8.4925244618395297</v>
      </c>
    </row>
    <row r="146" spans="2:12" ht="15.75" customHeight="1" x14ac:dyDescent="0.3">
      <c r="B146" s="92">
        <v>13</v>
      </c>
      <c r="C146" s="53">
        <v>46477</v>
      </c>
      <c r="D146" s="92" t="s">
        <v>530</v>
      </c>
      <c r="E146" s="45">
        <f t="shared" si="23"/>
        <v>139.28571428571428</v>
      </c>
      <c r="F146" s="45">
        <f>IF(AND('Facility Master'!W26&gt;C145,'Facility Master'!W26&lt;=C146),'Facility Master'!J26,0)</f>
        <v>0</v>
      </c>
      <c r="G146" s="45">
        <f>IFERROR(IF(AND('Facility Master'!X26&lt;&gt;"-",C146&gt;='Facility Master'!X26,C146&lt;='Facility Master'!Y26),MIN(E146+F146,'Facility Master'!J26/'Facility Master'!V26),0),0)</f>
        <v>5.3571428571428568</v>
      </c>
      <c r="H146" s="45">
        <f t="shared" si="20"/>
        <v>133.92857142857142</v>
      </c>
      <c r="I146" s="93">
        <f>'Facility Master'!Q26</f>
        <v>8.6000000000000007E-2</v>
      </c>
      <c r="J146" s="94">
        <f t="shared" si="24"/>
        <v>90</v>
      </c>
      <c r="K146" s="45">
        <f t="shared" si="21"/>
        <v>2.9536203522504896</v>
      </c>
      <c r="L146" s="45">
        <f t="shared" si="22"/>
        <v>8.3107632093933468</v>
      </c>
    </row>
    <row r="147" spans="2:12" ht="15.75" customHeight="1" x14ac:dyDescent="0.3">
      <c r="B147" s="95">
        <v>14</v>
      </c>
      <c r="C147" s="67">
        <v>46568</v>
      </c>
      <c r="D147" s="95" t="s">
        <v>531</v>
      </c>
      <c r="E147" s="60">
        <f t="shared" si="23"/>
        <v>133.92857142857142</v>
      </c>
      <c r="F147" s="60">
        <f>IF(AND('Facility Master'!W26&gt;C146,'Facility Master'!W26&lt;=C147),'Facility Master'!J26,0)</f>
        <v>0</v>
      </c>
      <c r="G147" s="60">
        <f>IFERROR(IF(AND('Facility Master'!X26&lt;&gt;"-",C147&gt;='Facility Master'!X26,C147&lt;='Facility Master'!Y26),MIN(E147+F147,'Facility Master'!J26/'Facility Master'!V26),0),0)</f>
        <v>5.3571428571428568</v>
      </c>
      <c r="H147" s="60">
        <f t="shared" si="20"/>
        <v>128.57142857142856</v>
      </c>
      <c r="I147" s="96">
        <f>'Facility Master'!Q26</f>
        <v>8.6000000000000007E-2</v>
      </c>
      <c r="J147" s="97">
        <f t="shared" si="24"/>
        <v>91</v>
      </c>
      <c r="K147" s="60">
        <f t="shared" si="21"/>
        <v>2.8715753424657535</v>
      </c>
      <c r="L147" s="60">
        <f t="shared" si="22"/>
        <v>8.2287181996086112</v>
      </c>
    </row>
    <row r="148" spans="2:12" ht="15.75" customHeight="1" x14ac:dyDescent="0.3">
      <c r="B148" s="92">
        <v>15</v>
      </c>
      <c r="C148" s="53">
        <v>46660</v>
      </c>
      <c r="D148" s="92" t="s">
        <v>532</v>
      </c>
      <c r="E148" s="45">
        <f t="shared" si="23"/>
        <v>128.57142857142856</v>
      </c>
      <c r="F148" s="45">
        <f>IF(AND('Facility Master'!W26&gt;C147,'Facility Master'!W26&lt;=C148),'Facility Master'!J26,0)</f>
        <v>0</v>
      </c>
      <c r="G148" s="45">
        <f>IFERROR(IF(AND('Facility Master'!X26&lt;&gt;"-",C148&gt;='Facility Master'!X26,C148&lt;='Facility Master'!Y26),MIN(E148+F148,'Facility Master'!J26/'Facility Master'!V26),0),0)</f>
        <v>5.3571428571428568</v>
      </c>
      <c r="H148" s="45">
        <f t="shared" si="20"/>
        <v>123.21428571428569</v>
      </c>
      <c r="I148" s="93">
        <f>'Facility Master'!Q26</f>
        <v>8.6000000000000007E-2</v>
      </c>
      <c r="J148" s="94">
        <f t="shared" si="24"/>
        <v>92</v>
      </c>
      <c r="K148" s="45">
        <f t="shared" si="21"/>
        <v>2.7870058708414871</v>
      </c>
      <c r="L148" s="45">
        <f t="shared" si="22"/>
        <v>8.1441487279843443</v>
      </c>
    </row>
    <row r="149" spans="2:12" ht="15.75" customHeight="1" x14ac:dyDescent="0.3">
      <c r="B149" s="95">
        <v>16</v>
      </c>
      <c r="C149" s="67">
        <v>46752</v>
      </c>
      <c r="D149" s="95" t="s">
        <v>533</v>
      </c>
      <c r="E149" s="60">
        <f t="shared" si="23"/>
        <v>123.21428571428569</v>
      </c>
      <c r="F149" s="60">
        <f>IF(AND('Facility Master'!W26&gt;C148,'Facility Master'!W26&lt;=C149),'Facility Master'!J26,0)</f>
        <v>0</v>
      </c>
      <c r="G149" s="60">
        <f>IFERROR(IF(AND('Facility Master'!X26&lt;&gt;"-",C149&gt;='Facility Master'!X26,C149&lt;='Facility Master'!Y26),MIN(E149+F149,'Facility Master'!J26/'Facility Master'!V26),0),0)</f>
        <v>5.3571428571428568</v>
      </c>
      <c r="H149" s="60">
        <f t="shared" si="20"/>
        <v>117.85714285714283</v>
      </c>
      <c r="I149" s="96">
        <f>'Facility Master'!Q26</f>
        <v>8.6000000000000007E-2</v>
      </c>
      <c r="J149" s="97">
        <f t="shared" si="24"/>
        <v>92</v>
      </c>
      <c r="K149" s="60">
        <f t="shared" si="21"/>
        <v>2.6708806262230915</v>
      </c>
      <c r="L149" s="60">
        <f t="shared" si="22"/>
        <v>8.0280234833659492</v>
      </c>
    </row>
    <row r="150" spans="2:12" ht="15.75" customHeight="1" x14ac:dyDescent="0.3">
      <c r="B150" s="92">
        <v>17</v>
      </c>
      <c r="C150" s="53">
        <v>46843</v>
      </c>
      <c r="D150" s="92" t="s">
        <v>534</v>
      </c>
      <c r="E150" s="45">
        <f t="shared" si="23"/>
        <v>117.85714285714283</v>
      </c>
      <c r="F150" s="45">
        <f>IF(AND('Facility Master'!W26&gt;C149,'Facility Master'!W26&lt;=C150),'Facility Master'!J26,0)</f>
        <v>0</v>
      </c>
      <c r="G150" s="45">
        <f>IFERROR(IF(AND('Facility Master'!X26&lt;&gt;"-",C150&gt;='Facility Master'!X26,C150&lt;='Facility Master'!Y26),MIN(E150+F150,'Facility Master'!J26/'Facility Master'!V26),0),0)</f>
        <v>5.3571428571428568</v>
      </c>
      <c r="H150" s="45">
        <f t="shared" si="20"/>
        <v>112.49999999999997</v>
      </c>
      <c r="I150" s="93">
        <f>'Facility Master'!Q26</f>
        <v>8.6000000000000007E-2</v>
      </c>
      <c r="J150" s="94">
        <f t="shared" si="24"/>
        <v>91</v>
      </c>
      <c r="K150" s="45">
        <f t="shared" si="21"/>
        <v>2.5269863013698628</v>
      </c>
      <c r="L150" s="45">
        <f t="shared" si="22"/>
        <v>7.8841291585127191</v>
      </c>
    </row>
    <row r="151" spans="2:12" ht="15.75" customHeight="1" x14ac:dyDescent="0.3">
      <c r="B151" s="95">
        <v>18</v>
      </c>
      <c r="C151" s="67">
        <v>46934</v>
      </c>
      <c r="D151" s="95" t="s">
        <v>535</v>
      </c>
      <c r="E151" s="60">
        <f t="shared" si="23"/>
        <v>112.49999999999997</v>
      </c>
      <c r="F151" s="60">
        <f>IF(AND('Facility Master'!W26&gt;C150,'Facility Master'!W26&lt;=C151),'Facility Master'!J26,0)</f>
        <v>0</v>
      </c>
      <c r="G151" s="60">
        <f>IFERROR(IF(AND('Facility Master'!X26&lt;&gt;"-",C151&gt;='Facility Master'!X26,C151&lt;='Facility Master'!Y26),MIN(E151+F151,'Facility Master'!J26/'Facility Master'!V26),0),0)</f>
        <v>5.3571428571428568</v>
      </c>
      <c r="H151" s="60">
        <f t="shared" si="20"/>
        <v>107.14285714285711</v>
      </c>
      <c r="I151" s="96">
        <f>'Facility Master'!Q26</f>
        <v>8.6000000000000007E-2</v>
      </c>
      <c r="J151" s="97">
        <f t="shared" si="24"/>
        <v>91</v>
      </c>
      <c r="K151" s="60">
        <f t="shared" si="21"/>
        <v>2.4121232876712329</v>
      </c>
      <c r="L151" s="60">
        <f t="shared" si="22"/>
        <v>7.7692661448140896</v>
      </c>
    </row>
    <row r="152" spans="2:12" ht="15.75" customHeight="1" x14ac:dyDescent="0.3">
      <c r="B152" s="92">
        <v>19</v>
      </c>
      <c r="C152" s="53">
        <v>47026</v>
      </c>
      <c r="D152" s="92" t="s">
        <v>536</v>
      </c>
      <c r="E152" s="45">
        <f t="shared" si="23"/>
        <v>107.14285714285711</v>
      </c>
      <c r="F152" s="45">
        <f>IF(AND('Facility Master'!W26&gt;C151,'Facility Master'!W26&lt;=C152),'Facility Master'!J26,0)</f>
        <v>0</v>
      </c>
      <c r="G152" s="45">
        <f>IFERROR(IF(AND('Facility Master'!X26&lt;&gt;"-",C152&gt;='Facility Master'!X26,C152&lt;='Facility Master'!Y26),MIN(E152+F152,'Facility Master'!J26/'Facility Master'!V26),0),0)</f>
        <v>5.3571428571428568</v>
      </c>
      <c r="H152" s="45">
        <f t="shared" si="20"/>
        <v>101.78571428571425</v>
      </c>
      <c r="I152" s="93">
        <f>'Facility Master'!Q26</f>
        <v>8.6000000000000007E-2</v>
      </c>
      <c r="J152" s="94">
        <f t="shared" si="24"/>
        <v>92</v>
      </c>
      <c r="K152" s="45">
        <f t="shared" si="21"/>
        <v>2.3225048923679052</v>
      </c>
      <c r="L152" s="45">
        <f t="shared" si="22"/>
        <v>7.679647749510762</v>
      </c>
    </row>
    <row r="153" spans="2:12" ht="15.75" customHeight="1" x14ac:dyDescent="0.3">
      <c r="B153" s="95">
        <v>20</v>
      </c>
      <c r="C153" s="67">
        <v>47118</v>
      </c>
      <c r="D153" s="95" t="s">
        <v>537</v>
      </c>
      <c r="E153" s="60">
        <f t="shared" si="23"/>
        <v>101.78571428571425</v>
      </c>
      <c r="F153" s="60">
        <f>IF(AND('Facility Master'!W26&gt;C152,'Facility Master'!W26&lt;=C153),'Facility Master'!J26,0)</f>
        <v>0</v>
      </c>
      <c r="G153" s="60">
        <f>IFERROR(IF(AND('Facility Master'!X26&lt;&gt;"-",C153&gt;='Facility Master'!X26,C153&lt;='Facility Master'!Y26),MIN(E153+F153,'Facility Master'!J26/'Facility Master'!V26),0),0)</f>
        <v>5.3571428571428568</v>
      </c>
      <c r="H153" s="60">
        <f t="shared" si="20"/>
        <v>96.428571428571388</v>
      </c>
      <c r="I153" s="96">
        <f>'Facility Master'!Q26</f>
        <v>8.6000000000000007E-2</v>
      </c>
      <c r="J153" s="97">
        <f t="shared" si="24"/>
        <v>92</v>
      </c>
      <c r="K153" s="60">
        <f t="shared" si="21"/>
        <v>2.2063796477495101</v>
      </c>
      <c r="L153" s="60">
        <f t="shared" si="22"/>
        <v>7.5635225048923669</v>
      </c>
    </row>
    <row r="154" spans="2:12" ht="15.75" customHeight="1" x14ac:dyDescent="0.3">
      <c r="B154" s="92">
        <v>21</v>
      </c>
      <c r="C154" s="53">
        <v>47208</v>
      </c>
      <c r="D154" s="92" t="s">
        <v>538</v>
      </c>
      <c r="E154" s="45">
        <f t="shared" si="23"/>
        <v>96.428571428571388</v>
      </c>
      <c r="F154" s="45">
        <f>IF(AND('Facility Master'!W26&gt;C153,'Facility Master'!W26&lt;=C154),'Facility Master'!J26,0)</f>
        <v>0</v>
      </c>
      <c r="G154" s="45">
        <f>IFERROR(IF(AND('Facility Master'!X26&lt;&gt;"-",C154&gt;='Facility Master'!X26,C154&lt;='Facility Master'!Y26),MIN(E154+F154,'Facility Master'!J26/'Facility Master'!V26),0),0)</f>
        <v>5.3571428571428568</v>
      </c>
      <c r="H154" s="45">
        <f t="shared" si="20"/>
        <v>91.071428571428527</v>
      </c>
      <c r="I154" s="93">
        <f>'Facility Master'!Q26</f>
        <v>8.6000000000000007E-2</v>
      </c>
      <c r="J154" s="94">
        <f t="shared" si="24"/>
        <v>90</v>
      </c>
      <c r="K154" s="45">
        <f t="shared" si="21"/>
        <v>2.0448140900195688</v>
      </c>
      <c r="L154" s="45">
        <f t="shared" si="22"/>
        <v>7.4019569471624251</v>
      </c>
    </row>
    <row r="155" spans="2:12" ht="15.75" customHeight="1" x14ac:dyDescent="0.3">
      <c r="B155" s="95">
        <v>22</v>
      </c>
      <c r="C155" s="67">
        <v>47299</v>
      </c>
      <c r="D155" s="95" t="s">
        <v>539</v>
      </c>
      <c r="E155" s="60">
        <f t="shared" si="23"/>
        <v>91.071428571428527</v>
      </c>
      <c r="F155" s="60">
        <f>IF(AND('Facility Master'!W26&gt;C154,'Facility Master'!W26&lt;=C155),'Facility Master'!J26,0)</f>
        <v>0</v>
      </c>
      <c r="G155" s="60">
        <f>IFERROR(IF(AND('Facility Master'!X26&lt;&gt;"-",C155&gt;='Facility Master'!X26,C155&lt;='Facility Master'!Y26),MIN(E155+F155,'Facility Master'!J26/'Facility Master'!V26),0),0)</f>
        <v>5.3571428571428568</v>
      </c>
      <c r="H155" s="60">
        <f t="shared" si="20"/>
        <v>85.714285714285666</v>
      </c>
      <c r="I155" s="96">
        <f>'Facility Master'!Q26</f>
        <v>8.6000000000000007E-2</v>
      </c>
      <c r="J155" s="97">
        <f t="shared" si="24"/>
        <v>91</v>
      </c>
      <c r="K155" s="60">
        <f t="shared" si="21"/>
        <v>1.9526712328767115</v>
      </c>
      <c r="L155" s="60">
        <f t="shared" si="22"/>
        <v>7.3098140900195681</v>
      </c>
    </row>
    <row r="156" spans="2:12" ht="15.75" customHeight="1" x14ac:dyDescent="0.3">
      <c r="B156" s="92">
        <v>23</v>
      </c>
      <c r="C156" s="53">
        <v>47391</v>
      </c>
      <c r="D156" s="92" t="s">
        <v>540</v>
      </c>
      <c r="E156" s="45">
        <f t="shared" si="23"/>
        <v>85.714285714285666</v>
      </c>
      <c r="F156" s="45">
        <f>IF(AND('Facility Master'!W26&gt;C155,'Facility Master'!W26&lt;=C156),'Facility Master'!J26,0)</f>
        <v>0</v>
      </c>
      <c r="G156" s="45">
        <f>IFERROR(IF(AND('Facility Master'!X26&lt;&gt;"-",C156&gt;='Facility Master'!X26,C156&lt;='Facility Master'!Y26),MIN(E156+F156,'Facility Master'!J26/'Facility Master'!V26),0),0)</f>
        <v>5.3571428571428568</v>
      </c>
      <c r="H156" s="45">
        <f t="shared" si="20"/>
        <v>80.357142857142804</v>
      </c>
      <c r="I156" s="93">
        <f>'Facility Master'!Q26</f>
        <v>8.6000000000000007E-2</v>
      </c>
      <c r="J156" s="94">
        <f t="shared" si="24"/>
        <v>92</v>
      </c>
      <c r="K156" s="45">
        <f t="shared" si="21"/>
        <v>1.8580039138943238</v>
      </c>
      <c r="L156" s="45">
        <f t="shared" si="22"/>
        <v>7.2151467710371806</v>
      </c>
    </row>
    <row r="157" spans="2:12" ht="15.75" customHeight="1" x14ac:dyDescent="0.3">
      <c r="B157" s="95">
        <v>24</v>
      </c>
      <c r="C157" s="67">
        <v>47483</v>
      </c>
      <c r="D157" s="95" t="s">
        <v>541</v>
      </c>
      <c r="E157" s="60">
        <f t="shared" si="23"/>
        <v>80.357142857142804</v>
      </c>
      <c r="F157" s="60">
        <f>IF(AND('Facility Master'!W26&gt;C156,'Facility Master'!W26&lt;=C157),'Facility Master'!J26,0)</f>
        <v>0</v>
      </c>
      <c r="G157" s="60">
        <f>IFERROR(IF(AND('Facility Master'!X26&lt;&gt;"-",C157&gt;='Facility Master'!X26,C157&lt;='Facility Master'!Y26),MIN(E157+F157,'Facility Master'!J26/'Facility Master'!V26),0),0)</f>
        <v>5.3571428571428568</v>
      </c>
      <c r="H157" s="60">
        <f t="shared" si="20"/>
        <v>74.999999999999943</v>
      </c>
      <c r="I157" s="96">
        <f>'Facility Master'!Q26</f>
        <v>8.6000000000000007E-2</v>
      </c>
      <c r="J157" s="97">
        <f t="shared" si="24"/>
        <v>92</v>
      </c>
      <c r="K157" s="60">
        <f t="shared" si="21"/>
        <v>1.7418786692759287</v>
      </c>
      <c r="L157" s="60">
        <f t="shared" si="22"/>
        <v>7.0990215264187855</v>
      </c>
    </row>
    <row r="158" spans="2:12" ht="15.75" customHeight="1" x14ac:dyDescent="0.3">
      <c r="B158" s="92">
        <v>25</v>
      </c>
      <c r="C158" s="53">
        <v>47573</v>
      </c>
      <c r="D158" s="92" t="s">
        <v>542</v>
      </c>
      <c r="E158" s="45">
        <f t="shared" si="23"/>
        <v>74.999999999999943</v>
      </c>
      <c r="F158" s="45">
        <f>IF(AND('Facility Master'!W26&gt;C157,'Facility Master'!W26&lt;=C158),'Facility Master'!J26,0)</f>
        <v>0</v>
      </c>
      <c r="G158" s="45">
        <f>IFERROR(IF(AND('Facility Master'!X26&lt;&gt;"-",C158&gt;='Facility Master'!X26,C158&lt;='Facility Master'!Y26),MIN(E158+F158,'Facility Master'!J26/'Facility Master'!V26),0),0)</f>
        <v>5.3571428571428568</v>
      </c>
      <c r="H158" s="45">
        <f t="shared" si="20"/>
        <v>69.642857142857082</v>
      </c>
      <c r="I158" s="93">
        <f>'Facility Master'!Q26</f>
        <v>8.6000000000000007E-2</v>
      </c>
      <c r="J158" s="94">
        <f t="shared" si="24"/>
        <v>90</v>
      </c>
      <c r="K158" s="45">
        <f t="shared" si="21"/>
        <v>1.5904109589041087</v>
      </c>
      <c r="L158" s="45">
        <f t="shared" si="22"/>
        <v>6.9475538160469652</v>
      </c>
    </row>
    <row r="159" spans="2:12" ht="15.75" customHeight="1" x14ac:dyDescent="0.3">
      <c r="B159" s="95">
        <v>26</v>
      </c>
      <c r="C159" s="67">
        <v>47664</v>
      </c>
      <c r="D159" s="95" t="s">
        <v>543</v>
      </c>
      <c r="E159" s="60">
        <f t="shared" si="23"/>
        <v>69.642857142857082</v>
      </c>
      <c r="F159" s="60">
        <f>IF(AND('Facility Master'!W26&gt;C158,'Facility Master'!W26&lt;=C159),'Facility Master'!J26,0)</f>
        <v>0</v>
      </c>
      <c r="G159" s="60">
        <f>IFERROR(IF(AND('Facility Master'!X26&lt;&gt;"-",C159&gt;='Facility Master'!X26,C159&lt;='Facility Master'!Y26),MIN(E159+F159,'Facility Master'!J26/'Facility Master'!V26),0),0)</f>
        <v>5.3571428571428568</v>
      </c>
      <c r="H159" s="60">
        <f t="shared" si="20"/>
        <v>64.285714285714221</v>
      </c>
      <c r="I159" s="96">
        <f>'Facility Master'!Q26</f>
        <v>8.6000000000000007E-2</v>
      </c>
      <c r="J159" s="97">
        <f t="shared" si="24"/>
        <v>91</v>
      </c>
      <c r="K159" s="60">
        <f t="shared" si="21"/>
        <v>1.4932191780821904</v>
      </c>
      <c r="L159" s="60">
        <f t="shared" si="22"/>
        <v>6.8503620352250474</v>
      </c>
    </row>
    <row r="160" spans="2:12" ht="15.75" customHeight="1" x14ac:dyDescent="0.3">
      <c r="B160" s="92">
        <v>27</v>
      </c>
      <c r="C160" s="53">
        <v>47756</v>
      </c>
      <c r="D160" s="92" t="s">
        <v>544</v>
      </c>
      <c r="E160" s="45">
        <f t="shared" si="23"/>
        <v>64.285714285714221</v>
      </c>
      <c r="F160" s="45">
        <f>IF(AND('Facility Master'!W26&gt;C159,'Facility Master'!W26&lt;=C160),'Facility Master'!J26,0)</f>
        <v>0</v>
      </c>
      <c r="G160" s="45">
        <f>IFERROR(IF(AND('Facility Master'!X26&lt;&gt;"-",C160&gt;='Facility Master'!X26,C160&lt;='Facility Master'!Y26),MIN(E160+F160,'Facility Master'!J26/'Facility Master'!V26),0),0)</f>
        <v>5.3571428571428568</v>
      </c>
      <c r="H160" s="45">
        <f t="shared" si="20"/>
        <v>58.928571428571367</v>
      </c>
      <c r="I160" s="93">
        <f>'Facility Master'!Q26</f>
        <v>8.6000000000000007E-2</v>
      </c>
      <c r="J160" s="94">
        <f t="shared" si="24"/>
        <v>92</v>
      </c>
      <c r="K160" s="45">
        <f t="shared" si="21"/>
        <v>1.3935029354207422</v>
      </c>
      <c r="L160" s="45">
        <f t="shared" si="22"/>
        <v>6.7506457925635992</v>
      </c>
    </row>
    <row r="161" spans="2:12" ht="15.75" customHeight="1" x14ac:dyDescent="0.3">
      <c r="B161" s="95">
        <v>28</v>
      </c>
      <c r="C161" s="67">
        <v>47848</v>
      </c>
      <c r="D161" s="95" t="s">
        <v>545</v>
      </c>
      <c r="E161" s="60">
        <f t="shared" si="23"/>
        <v>58.928571428571367</v>
      </c>
      <c r="F161" s="60">
        <f>IF(AND('Facility Master'!W26&gt;C160,'Facility Master'!W26&lt;=C161),'Facility Master'!J26,0)</f>
        <v>0</v>
      </c>
      <c r="G161" s="60">
        <f>IFERROR(IF(AND('Facility Master'!X26&lt;&gt;"-",C161&gt;='Facility Master'!X26,C161&lt;='Facility Master'!Y26),MIN(E161+F161,'Facility Master'!J26/'Facility Master'!V26),0),0)</f>
        <v>5.3571428571428568</v>
      </c>
      <c r="H161" s="60">
        <f t="shared" si="20"/>
        <v>53.571428571428513</v>
      </c>
      <c r="I161" s="96">
        <f>'Facility Master'!Q26</f>
        <v>8.6000000000000007E-2</v>
      </c>
      <c r="J161" s="97">
        <f t="shared" si="24"/>
        <v>92</v>
      </c>
      <c r="K161" s="60">
        <f t="shared" si="21"/>
        <v>1.2773776908023471</v>
      </c>
      <c r="L161" s="60">
        <f t="shared" si="22"/>
        <v>6.6345205479452041</v>
      </c>
    </row>
    <row r="162" spans="2:12" ht="15.75" customHeight="1" x14ac:dyDescent="0.3">
      <c r="B162" s="92">
        <v>29</v>
      </c>
      <c r="C162" s="53">
        <v>47938</v>
      </c>
      <c r="D162" s="92" t="s">
        <v>546</v>
      </c>
      <c r="E162" s="45">
        <f t="shared" si="23"/>
        <v>53.571428571428513</v>
      </c>
      <c r="F162" s="45">
        <f>IF(AND('Facility Master'!W26&gt;C161,'Facility Master'!W26&lt;=C162),'Facility Master'!J26,0)</f>
        <v>0</v>
      </c>
      <c r="G162" s="45">
        <f>IFERROR(IF(AND('Facility Master'!X26&lt;&gt;"-",C162&gt;='Facility Master'!X26,C162&lt;='Facility Master'!Y26),MIN(E162+F162,'Facility Master'!J26/'Facility Master'!V26),0),0)</f>
        <v>5.3571428571428568</v>
      </c>
      <c r="H162" s="45">
        <f t="shared" si="20"/>
        <v>48.214285714285658</v>
      </c>
      <c r="I162" s="93">
        <f>'Facility Master'!Q26</f>
        <v>8.6000000000000007E-2</v>
      </c>
      <c r="J162" s="94">
        <f t="shared" si="24"/>
        <v>90</v>
      </c>
      <c r="K162" s="45">
        <f t="shared" si="21"/>
        <v>1.1360078277886485</v>
      </c>
      <c r="L162" s="45">
        <f t="shared" si="22"/>
        <v>6.4931506849315053</v>
      </c>
    </row>
    <row r="163" spans="2:12" ht="15.75" customHeight="1" x14ac:dyDescent="0.3">
      <c r="B163" s="95">
        <v>30</v>
      </c>
      <c r="C163" s="67">
        <v>48029</v>
      </c>
      <c r="D163" s="95" t="s">
        <v>547</v>
      </c>
      <c r="E163" s="60">
        <f t="shared" si="23"/>
        <v>48.214285714285658</v>
      </c>
      <c r="F163" s="60">
        <f>IF(AND('Facility Master'!W26&gt;C162,'Facility Master'!W26&lt;=C163),'Facility Master'!J26,0)</f>
        <v>0</v>
      </c>
      <c r="G163" s="60">
        <f>IFERROR(IF(AND('Facility Master'!X26&lt;&gt;"-",C163&gt;='Facility Master'!X26,C163&lt;='Facility Master'!Y26),MIN(E163+F163,'Facility Master'!J26/'Facility Master'!V26),0),0)</f>
        <v>5.3571428571428568</v>
      </c>
      <c r="H163" s="60">
        <f t="shared" si="20"/>
        <v>42.857142857142804</v>
      </c>
      <c r="I163" s="96">
        <f>'Facility Master'!Q26</f>
        <v>8.6000000000000007E-2</v>
      </c>
      <c r="J163" s="97">
        <f t="shared" si="24"/>
        <v>91</v>
      </c>
      <c r="K163" s="60">
        <f t="shared" si="21"/>
        <v>1.0337671232876702</v>
      </c>
      <c r="L163" s="60">
        <f t="shared" si="22"/>
        <v>6.3909099804305267</v>
      </c>
    </row>
    <row r="164" spans="2:12" ht="15.75" customHeight="1" x14ac:dyDescent="0.3">
      <c r="B164" s="92">
        <v>31</v>
      </c>
      <c r="C164" s="53">
        <v>48121</v>
      </c>
      <c r="D164" s="92" t="s">
        <v>548</v>
      </c>
      <c r="E164" s="45">
        <f t="shared" si="23"/>
        <v>42.857142857142804</v>
      </c>
      <c r="F164" s="45">
        <f>IF(AND('Facility Master'!W26&gt;C163,'Facility Master'!W26&lt;=C164),'Facility Master'!J26,0)</f>
        <v>0</v>
      </c>
      <c r="G164" s="45">
        <f>IFERROR(IF(AND('Facility Master'!X26&lt;&gt;"-",C164&gt;='Facility Master'!X26,C164&lt;='Facility Master'!Y26),MIN(E164+F164,'Facility Master'!J26/'Facility Master'!V26),0),0)</f>
        <v>5.3571428571428568</v>
      </c>
      <c r="H164" s="45">
        <f t="shared" si="20"/>
        <v>37.49999999999995</v>
      </c>
      <c r="I164" s="93">
        <f>'Facility Master'!Q26</f>
        <v>8.6000000000000007E-2</v>
      </c>
      <c r="J164" s="94">
        <f t="shared" si="24"/>
        <v>92</v>
      </c>
      <c r="K164" s="45">
        <f t="shared" si="21"/>
        <v>0.92900195694716137</v>
      </c>
      <c r="L164" s="45">
        <f t="shared" si="22"/>
        <v>6.2861448140900178</v>
      </c>
    </row>
    <row r="165" spans="2:12" ht="15.75" customHeight="1" x14ac:dyDescent="0.3">
      <c r="B165" s="95">
        <v>32</v>
      </c>
      <c r="C165" s="67">
        <v>48213</v>
      </c>
      <c r="D165" s="95" t="s">
        <v>549</v>
      </c>
      <c r="E165" s="60">
        <f t="shared" si="23"/>
        <v>37.49999999999995</v>
      </c>
      <c r="F165" s="60">
        <f>IF(AND('Facility Master'!W26&gt;C164,'Facility Master'!W26&lt;=C165),'Facility Master'!J26,0)</f>
        <v>0</v>
      </c>
      <c r="G165" s="60">
        <f>IFERROR(IF(AND('Facility Master'!X26&lt;&gt;"-",C165&gt;='Facility Master'!X26,C165&lt;='Facility Master'!Y26),MIN(E165+F165,'Facility Master'!J26/'Facility Master'!V26),0),0)</f>
        <v>5.3571428571428568</v>
      </c>
      <c r="H165" s="60">
        <f t="shared" si="20"/>
        <v>32.142857142857096</v>
      </c>
      <c r="I165" s="96">
        <f>'Facility Master'!Q26</f>
        <v>8.6000000000000007E-2</v>
      </c>
      <c r="J165" s="97">
        <f t="shared" si="24"/>
        <v>92</v>
      </c>
      <c r="K165" s="60">
        <f t="shared" si="21"/>
        <v>0.81287671232876613</v>
      </c>
      <c r="L165" s="60">
        <f t="shared" si="22"/>
        <v>6.1700195694716227</v>
      </c>
    </row>
    <row r="166" spans="2:12" ht="15.75" customHeight="1" x14ac:dyDescent="0.3">
      <c r="B166" s="92">
        <v>33</v>
      </c>
      <c r="C166" s="53">
        <v>48304</v>
      </c>
      <c r="D166" s="92" t="s">
        <v>550</v>
      </c>
      <c r="E166" s="45">
        <f t="shared" si="23"/>
        <v>32.142857142857096</v>
      </c>
      <c r="F166" s="45">
        <f>IF(AND('Facility Master'!W26&gt;C165,'Facility Master'!W26&lt;=C166),'Facility Master'!J26,0)</f>
        <v>0</v>
      </c>
      <c r="G166" s="45">
        <f>IFERROR(IF(AND('Facility Master'!X26&lt;&gt;"-",C166&gt;='Facility Master'!X26,C166&lt;='Facility Master'!Y26),MIN(E166+F166,'Facility Master'!J26/'Facility Master'!V26),0),0)</f>
        <v>5.3571428571428568</v>
      </c>
      <c r="H166" s="45">
        <f t="shared" ref="H166:H186" si="25">E166+F166-G166</f>
        <v>26.785714285714239</v>
      </c>
      <c r="I166" s="93">
        <f>'Facility Master'!Q26</f>
        <v>8.6000000000000007E-2</v>
      </c>
      <c r="J166" s="94">
        <f t="shared" si="24"/>
        <v>91</v>
      </c>
      <c r="K166" s="45">
        <f t="shared" ref="K166:K186" si="26">IFERROR(E166*I166*J166/DaysInYear,0)</f>
        <v>0.68917808219177989</v>
      </c>
      <c r="L166" s="45">
        <f t="shared" ref="L166:L186" si="27">G166+K166</f>
        <v>6.0463209393346364</v>
      </c>
    </row>
    <row r="167" spans="2:12" ht="15.75" customHeight="1" x14ac:dyDescent="0.3">
      <c r="B167" s="95">
        <v>34</v>
      </c>
      <c r="C167" s="67">
        <v>48395</v>
      </c>
      <c r="D167" s="95" t="s">
        <v>551</v>
      </c>
      <c r="E167" s="60">
        <f t="shared" ref="E167:E186" si="28">H166</f>
        <v>26.785714285714239</v>
      </c>
      <c r="F167" s="60">
        <f>IF(AND('Facility Master'!W26&gt;C166,'Facility Master'!W26&lt;=C167),'Facility Master'!J26,0)</f>
        <v>0</v>
      </c>
      <c r="G167" s="60">
        <f>IFERROR(IF(AND('Facility Master'!X26&lt;&gt;"-",C167&gt;='Facility Master'!X26,C167&lt;='Facility Master'!Y26),MIN(E167+F167,'Facility Master'!J26/'Facility Master'!V26),0),0)</f>
        <v>5.3571428571428568</v>
      </c>
      <c r="H167" s="60">
        <f t="shared" si="25"/>
        <v>21.428571428571381</v>
      </c>
      <c r="I167" s="96">
        <f>'Facility Master'!Q26</f>
        <v>8.6000000000000007E-2</v>
      </c>
      <c r="J167" s="97">
        <f t="shared" ref="J167:J186" si="29">C167-C166</f>
        <v>91</v>
      </c>
      <c r="K167" s="60">
        <f t="shared" si="26"/>
        <v>0.57431506849314973</v>
      </c>
      <c r="L167" s="60">
        <f t="shared" si="27"/>
        <v>5.9314579256360069</v>
      </c>
    </row>
    <row r="168" spans="2:12" ht="15.75" customHeight="1" x14ac:dyDescent="0.3">
      <c r="B168" s="92">
        <v>35</v>
      </c>
      <c r="C168" s="53">
        <v>48487</v>
      </c>
      <c r="D168" s="92" t="s">
        <v>552</v>
      </c>
      <c r="E168" s="45">
        <f t="shared" si="28"/>
        <v>21.428571428571381</v>
      </c>
      <c r="F168" s="45">
        <f>IF(AND('Facility Master'!W26&gt;C167,'Facility Master'!W26&lt;=C168),'Facility Master'!J26,0)</f>
        <v>0</v>
      </c>
      <c r="G168" s="45">
        <f>IFERROR(IF(AND('Facility Master'!X26&lt;&gt;"-",C168&gt;='Facility Master'!X26,C168&lt;='Facility Master'!Y26),MIN(E168+F168,'Facility Master'!J26/'Facility Master'!V26),0),0)</f>
        <v>5.3571428571428568</v>
      </c>
      <c r="H168" s="45">
        <f t="shared" si="25"/>
        <v>16.071428571428523</v>
      </c>
      <c r="I168" s="93">
        <f>'Facility Master'!Q26</f>
        <v>8.6000000000000007E-2</v>
      </c>
      <c r="J168" s="94">
        <f t="shared" si="29"/>
        <v>92</v>
      </c>
      <c r="K168" s="45">
        <f t="shared" si="26"/>
        <v>0.46450097847358018</v>
      </c>
      <c r="L168" s="45">
        <f t="shared" si="27"/>
        <v>5.8216438356164373</v>
      </c>
    </row>
    <row r="169" spans="2:12" ht="15.75" customHeight="1" x14ac:dyDescent="0.3">
      <c r="B169" s="95">
        <v>36</v>
      </c>
      <c r="C169" s="67">
        <v>48579</v>
      </c>
      <c r="D169" s="95" t="s">
        <v>553</v>
      </c>
      <c r="E169" s="60">
        <f t="shared" si="28"/>
        <v>16.071428571428523</v>
      </c>
      <c r="F169" s="60">
        <f>IF(AND('Facility Master'!W26&gt;C168,'Facility Master'!W26&lt;=C169),'Facility Master'!J26,0)</f>
        <v>0</v>
      </c>
      <c r="G169" s="60">
        <f>IFERROR(IF(AND('Facility Master'!X26&lt;&gt;"-",C169&gt;='Facility Master'!X26,C169&lt;='Facility Master'!Y26),MIN(E169+F169,'Facility Master'!J26/'Facility Master'!V26),0),0)</f>
        <v>5.3571428571428568</v>
      </c>
      <c r="H169" s="60">
        <f t="shared" si="25"/>
        <v>10.714285714285666</v>
      </c>
      <c r="I169" s="96">
        <f>'Facility Master'!Q26</f>
        <v>8.6000000000000007E-2</v>
      </c>
      <c r="J169" s="97">
        <f t="shared" si="29"/>
        <v>92</v>
      </c>
      <c r="K169" s="60">
        <f t="shared" si="26"/>
        <v>0.34837573385518489</v>
      </c>
      <c r="L169" s="60">
        <f t="shared" si="27"/>
        <v>5.7055185909980413</v>
      </c>
    </row>
    <row r="170" spans="2:12" ht="15.75" customHeight="1" x14ac:dyDescent="0.3">
      <c r="B170" s="92">
        <v>37</v>
      </c>
      <c r="C170" s="53">
        <v>48669</v>
      </c>
      <c r="D170" s="92" t="s">
        <v>554</v>
      </c>
      <c r="E170" s="45">
        <f t="shared" si="28"/>
        <v>10.714285714285666</v>
      </c>
      <c r="F170" s="45">
        <f>IF(AND('Facility Master'!W26&gt;C169,'Facility Master'!W26&lt;=C170),'Facility Master'!J26,0)</f>
        <v>0</v>
      </c>
      <c r="G170" s="45">
        <f>IFERROR(IF(AND('Facility Master'!X26&lt;&gt;"-",C170&gt;='Facility Master'!X26,C170&lt;='Facility Master'!Y26),MIN(E170+F170,'Facility Master'!J26/'Facility Master'!V26),0),0)</f>
        <v>5.3571428571428568</v>
      </c>
      <c r="H170" s="45">
        <f t="shared" si="25"/>
        <v>5.3571428571428088</v>
      </c>
      <c r="I170" s="93">
        <f>'Facility Master'!Q26</f>
        <v>8.6000000000000007E-2</v>
      </c>
      <c r="J170" s="94">
        <f t="shared" si="29"/>
        <v>90</v>
      </c>
      <c r="K170" s="45">
        <f t="shared" si="26"/>
        <v>0.22720156555772889</v>
      </c>
      <c r="L170" s="45">
        <f t="shared" si="27"/>
        <v>5.5843444227005854</v>
      </c>
    </row>
    <row r="171" spans="2:12" ht="15.75" customHeight="1" x14ac:dyDescent="0.3">
      <c r="B171" s="95">
        <v>38</v>
      </c>
      <c r="C171" s="67">
        <v>48760</v>
      </c>
      <c r="D171" s="95" t="s">
        <v>555</v>
      </c>
      <c r="E171" s="60">
        <f t="shared" si="28"/>
        <v>5.3571428571428088</v>
      </c>
      <c r="F171" s="60">
        <f>IF(AND('Facility Master'!W26&gt;C170,'Facility Master'!W26&lt;=C171),'Facility Master'!J26,0)</f>
        <v>0</v>
      </c>
      <c r="G171" s="60">
        <f>IFERROR(IF(AND('Facility Master'!X26&lt;&gt;"-",C171&gt;='Facility Master'!X26,C171&lt;='Facility Master'!Y26),MIN(E171+F171,'Facility Master'!J26/'Facility Master'!V26),0),0)</f>
        <v>5.3571428571428088</v>
      </c>
      <c r="H171" s="60">
        <f t="shared" si="25"/>
        <v>0</v>
      </c>
      <c r="I171" s="96">
        <f>'Facility Master'!Q26</f>
        <v>8.6000000000000007E-2</v>
      </c>
      <c r="J171" s="97">
        <f t="shared" si="29"/>
        <v>91</v>
      </c>
      <c r="K171" s="60">
        <f t="shared" si="26"/>
        <v>0.1148630136986291</v>
      </c>
      <c r="L171" s="60">
        <f t="shared" si="27"/>
        <v>5.4720058708414383</v>
      </c>
    </row>
    <row r="172" spans="2:12" ht="15.75" customHeight="1" x14ac:dyDescent="0.3">
      <c r="B172" s="92">
        <v>39</v>
      </c>
      <c r="C172" s="53">
        <v>48852</v>
      </c>
      <c r="D172" s="92" t="s">
        <v>556</v>
      </c>
      <c r="E172" s="45">
        <f t="shared" si="28"/>
        <v>0</v>
      </c>
      <c r="F172" s="45">
        <f>IF(AND('Facility Master'!W26&gt;C171,'Facility Master'!W26&lt;=C172),'Facility Master'!J26,0)</f>
        <v>0</v>
      </c>
      <c r="G172" s="45">
        <f>IFERROR(IF(AND('Facility Master'!X26&lt;&gt;"-",C172&gt;='Facility Master'!X26,C172&lt;='Facility Master'!Y26),MIN(E172+F172,'Facility Master'!J26/'Facility Master'!V26),0),0)</f>
        <v>0</v>
      </c>
      <c r="H172" s="45">
        <f t="shared" si="25"/>
        <v>0</v>
      </c>
      <c r="I172" s="93">
        <f>'Facility Master'!Q26</f>
        <v>8.6000000000000007E-2</v>
      </c>
      <c r="J172" s="94">
        <f t="shared" si="29"/>
        <v>92</v>
      </c>
      <c r="K172" s="45">
        <f t="shared" si="26"/>
        <v>0</v>
      </c>
      <c r="L172" s="45">
        <f t="shared" si="27"/>
        <v>0</v>
      </c>
    </row>
    <row r="173" spans="2:12" ht="15.75" customHeight="1" x14ac:dyDescent="0.3">
      <c r="B173" s="95">
        <v>40</v>
      </c>
      <c r="C173" s="67">
        <v>48944</v>
      </c>
      <c r="D173" s="95" t="s">
        <v>557</v>
      </c>
      <c r="E173" s="60">
        <f t="shared" si="28"/>
        <v>0</v>
      </c>
      <c r="F173" s="60">
        <f>IF(AND('Facility Master'!W26&gt;C172,'Facility Master'!W26&lt;=C173),'Facility Master'!J26,0)</f>
        <v>0</v>
      </c>
      <c r="G173" s="60">
        <f>IFERROR(IF(AND('Facility Master'!X26&lt;&gt;"-",C173&gt;='Facility Master'!X26,C173&lt;='Facility Master'!Y26),MIN(E173+F173,'Facility Master'!J26/'Facility Master'!V26),0),0)</f>
        <v>0</v>
      </c>
      <c r="H173" s="60">
        <f t="shared" si="25"/>
        <v>0</v>
      </c>
      <c r="I173" s="96">
        <f>'Facility Master'!Q26</f>
        <v>8.6000000000000007E-2</v>
      </c>
      <c r="J173" s="97">
        <f t="shared" si="29"/>
        <v>92</v>
      </c>
      <c r="K173" s="60">
        <f t="shared" si="26"/>
        <v>0</v>
      </c>
      <c r="L173" s="60">
        <f t="shared" si="27"/>
        <v>0</v>
      </c>
    </row>
    <row r="174" spans="2:12" ht="15.75" customHeight="1" x14ac:dyDescent="0.3">
      <c r="B174" s="92">
        <v>41</v>
      </c>
      <c r="C174" s="53">
        <v>49034</v>
      </c>
      <c r="D174" s="92" t="s">
        <v>558</v>
      </c>
      <c r="E174" s="45">
        <f t="shared" si="28"/>
        <v>0</v>
      </c>
      <c r="F174" s="45">
        <f>IF(AND('Facility Master'!W26&gt;C173,'Facility Master'!W26&lt;=C174),'Facility Master'!J26,0)</f>
        <v>0</v>
      </c>
      <c r="G174" s="45">
        <f>IFERROR(IF(AND('Facility Master'!X26&lt;&gt;"-",C174&gt;='Facility Master'!X26,C174&lt;='Facility Master'!Y26),MIN(E174+F174,'Facility Master'!J26/'Facility Master'!V26),0),0)</f>
        <v>0</v>
      </c>
      <c r="H174" s="45">
        <f t="shared" si="25"/>
        <v>0</v>
      </c>
      <c r="I174" s="93">
        <f>'Facility Master'!Q26</f>
        <v>8.6000000000000007E-2</v>
      </c>
      <c r="J174" s="94">
        <f t="shared" si="29"/>
        <v>90</v>
      </c>
      <c r="K174" s="45">
        <f t="shared" si="26"/>
        <v>0</v>
      </c>
      <c r="L174" s="45">
        <f t="shared" si="27"/>
        <v>0</v>
      </c>
    </row>
    <row r="175" spans="2:12" ht="15.75" customHeight="1" x14ac:dyDescent="0.3">
      <c r="B175" s="95">
        <v>42</v>
      </c>
      <c r="C175" s="67">
        <v>49125</v>
      </c>
      <c r="D175" s="95" t="s">
        <v>559</v>
      </c>
      <c r="E175" s="60">
        <f t="shared" si="28"/>
        <v>0</v>
      </c>
      <c r="F175" s="60">
        <f>IF(AND('Facility Master'!W26&gt;C174,'Facility Master'!W26&lt;=C175),'Facility Master'!J26,0)</f>
        <v>0</v>
      </c>
      <c r="G175" s="60">
        <f>IFERROR(IF(AND('Facility Master'!X26&lt;&gt;"-",C175&gt;='Facility Master'!X26,C175&lt;='Facility Master'!Y26),MIN(E175+F175,'Facility Master'!J26/'Facility Master'!V26),0),0)</f>
        <v>0</v>
      </c>
      <c r="H175" s="60">
        <f t="shared" si="25"/>
        <v>0</v>
      </c>
      <c r="I175" s="96">
        <f>'Facility Master'!Q26</f>
        <v>8.6000000000000007E-2</v>
      </c>
      <c r="J175" s="97">
        <f t="shared" si="29"/>
        <v>91</v>
      </c>
      <c r="K175" s="60">
        <f t="shared" si="26"/>
        <v>0</v>
      </c>
      <c r="L175" s="60">
        <f t="shared" si="27"/>
        <v>0</v>
      </c>
    </row>
    <row r="176" spans="2:12" ht="15.75" customHeight="1" x14ac:dyDescent="0.3">
      <c r="B176" s="92">
        <v>43</v>
      </c>
      <c r="C176" s="53">
        <v>49217</v>
      </c>
      <c r="D176" s="92" t="s">
        <v>560</v>
      </c>
      <c r="E176" s="45">
        <f t="shared" si="28"/>
        <v>0</v>
      </c>
      <c r="F176" s="45">
        <f>IF(AND('Facility Master'!W26&gt;C175,'Facility Master'!W26&lt;=C176),'Facility Master'!J26,0)</f>
        <v>0</v>
      </c>
      <c r="G176" s="45">
        <f>IFERROR(IF(AND('Facility Master'!X26&lt;&gt;"-",C176&gt;='Facility Master'!X26,C176&lt;='Facility Master'!Y26),MIN(E176+F176,'Facility Master'!J26/'Facility Master'!V26),0),0)</f>
        <v>0</v>
      </c>
      <c r="H176" s="45">
        <f t="shared" si="25"/>
        <v>0</v>
      </c>
      <c r="I176" s="93">
        <f>'Facility Master'!Q26</f>
        <v>8.6000000000000007E-2</v>
      </c>
      <c r="J176" s="94">
        <f t="shared" si="29"/>
        <v>92</v>
      </c>
      <c r="K176" s="45">
        <f t="shared" si="26"/>
        <v>0</v>
      </c>
      <c r="L176" s="45">
        <f t="shared" si="27"/>
        <v>0</v>
      </c>
    </row>
    <row r="177" spans="2:12" ht="15.75" customHeight="1" x14ac:dyDescent="0.3">
      <c r="B177" s="95">
        <v>44</v>
      </c>
      <c r="C177" s="67">
        <v>49309</v>
      </c>
      <c r="D177" s="95" t="s">
        <v>561</v>
      </c>
      <c r="E177" s="60">
        <f t="shared" si="28"/>
        <v>0</v>
      </c>
      <c r="F177" s="60">
        <f>IF(AND('Facility Master'!W26&gt;C176,'Facility Master'!W26&lt;=C177),'Facility Master'!J26,0)</f>
        <v>0</v>
      </c>
      <c r="G177" s="60">
        <f>IFERROR(IF(AND('Facility Master'!X26&lt;&gt;"-",C177&gt;='Facility Master'!X26,C177&lt;='Facility Master'!Y26),MIN(E177+F177,'Facility Master'!J26/'Facility Master'!V26),0),0)</f>
        <v>0</v>
      </c>
      <c r="H177" s="60">
        <f t="shared" si="25"/>
        <v>0</v>
      </c>
      <c r="I177" s="96">
        <f>'Facility Master'!Q26</f>
        <v>8.6000000000000007E-2</v>
      </c>
      <c r="J177" s="97">
        <f t="shared" si="29"/>
        <v>92</v>
      </c>
      <c r="K177" s="60">
        <f t="shared" si="26"/>
        <v>0</v>
      </c>
      <c r="L177" s="60">
        <f t="shared" si="27"/>
        <v>0</v>
      </c>
    </row>
    <row r="178" spans="2:12" ht="15.75" customHeight="1" x14ac:dyDescent="0.3">
      <c r="B178" s="92">
        <v>45</v>
      </c>
      <c r="C178" s="53">
        <v>49399</v>
      </c>
      <c r="D178" s="92" t="s">
        <v>562</v>
      </c>
      <c r="E178" s="45">
        <f t="shared" si="28"/>
        <v>0</v>
      </c>
      <c r="F178" s="45">
        <f>IF(AND('Facility Master'!W26&gt;C177,'Facility Master'!W26&lt;=C178),'Facility Master'!J26,0)</f>
        <v>0</v>
      </c>
      <c r="G178" s="45">
        <f>IFERROR(IF(AND('Facility Master'!X26&lt;&gt;"-",C178&gt;='Facility Master'!X26,C178&lt;='Facility Master'!Y26),MIN(E178+F178,'Facility Master'!J26/'Facility Master'!V26),0),0)</f>
        <v>0</v>
      </c>
      <c r="H178" s="45">
        <f t="shared" si="25"/>
        <v>0</v>
      </c>
      <c r="I178" s="93">
        <f>'Facility Master'!Q26</f>
        <v>8.6000000000000007E-2</v>
      </c>
      <c r="J178" s="94">
        <f t="shared" si="29"/>
        <v>90</v>
      </c>
      <c r="K178" s="45">
        <f t="shared" si="26"/>
        <v>0</v>
      </c>
      <c r="L178" s="45">
        <f t="shared" si="27"/>
        <v>0</v>
      </c>
    </row>
    <row r="179" spans="2:12" ht="15.75" customHeight="1" x14ac:dyDescent="0.3">
      <c r="B179" s="95">
        <v>46</v>
      </c>
      <c r="C179" s="67">
        <v>49490</v>
      </c>
      <c r="D179" s="95" t="s">
        <v>563</v>
      </c>
      <c r="E179" s="60">
        <f t="shared" si="28"/>
        <v>0</v>
      </c>
      <c r="F179" s="60">
        <f>IF(AND('Facility Master'!W26&gt;C178,'Facility Master'!W26&lt;=C179),'Facility Master'!J26,0)</f>
        <v>0</v>
      </c>
      <c r="G179" s="60">
        <f>IFERROR(IF(AND('Facility Master'!X26&lt;&gt;"-",C179&gt;='Facility Master'!X26,C179&lt;='Facility Master'!Y26),MIN(E179+F179,'Facility Master'!J26/'Facility Master'!V26),0),0)</f>
        <v>0</v>
      </c>
      <c r="H179" s="60">
        <f t="shared" si="25"/>
        <v>0</v>
      </c>
      <c r="I179" s="96">
        <f>'Facility Master'!Q26</f>
        <v>8.6000000000000007E-2</v>
      </c>
      <c r="J179" s="97">
        <f t="shared" si="29"/>
        <v>91</v>
      </c>
      <c r="K179" s="60">
        <f t="shared" si="26"/>
        <v>0</v>
      </c>
      <c r="L179" s="60">
        <f t="shared" si="27"/>
        <v>0</v>
      </c>
    </row>
    <row r="180" spans="2:12" ht="15.75" customHeight="1" x14ac:dyDescent="0.3">
      <c r="B180" s="92">
        <v>47</v>
      </c>
      <c r="C180" s="53">
        <v>49582</v>
      </c>
      <c r="D180" s="92" t="s">
        <v>564</v>
      </c>
      <c r="E180" s="45">
        <f t="shared" si="28"/>
        <v>0</v>
      </c>
      <c r="F180" s="45">
        <f>IF(AND('Facility Master'!W26&gt;C179,'Facility Master'!W26&lt;=C180),'Facility Master'!J26,0)</f>
        <v>0</v>
      </c>
      <c r="G180" s="45">
        <f>IFERROR(IF(AND('Facility Master'!X26&lt;&gt;"-",C180&gt;='Facility Master'!X26,C180&lt;='Facility Master'!Y26),MIN(E180+F180,'Facility Master'!J26/'Facility Master'!V26),0),0)</f>
        <v>0</v>
      </c>
      <c r="H180" s="45">
        <f t="shared" si="25"/>
        <v>0</v>
      </c>
      <c r="I180" s="93">
        <f>'Facility Master'!Q26</f>
        <v>8.6000000000000007E-2</v>
      </c>
      <c r="J180" s="94">
        <f t="shared" si="29"/>
        <v>92</v>
      </c>
      <c r="K180" s="45">
        <f t="shared" si="26"/>
        <v>0</v>
      </c>
      <c r="L180" s="45">
        <f t="shared" si="27"/>
        <v>0</v>
      </c>
    </row>
    <row r="181" spans="2:12" ht="15.75" customHeight="1" x14ac:dyDescent="0.3">
      <c r="B181" s="95">
        <v>48</v>
      </c>
      <c r="C181" s="67">
        <v>49674</v>
      </c>
      <c r="D181" s="95" t="s">
        <v>565</v>
      </c>
      <c r="E181" s="60">
        <f t="shared" si="28"/>
        <v>0</v>
      </c>
      <c r="F181" s="60">
        <f>IF(AND('Facility Master'!W26&gt;C180,'Facility Master'!W26&lt;=C181),'Facility Master'!J26,0)</f>
        <v>0</v>
      </c>
      <c r="G181" s="60">
        <f>IFERROR(IF(AND('Facility Master'!X26&lt;&gt;"-",C181&gt;='Facility Master'!X26,C181&lt;='Facility Master'!Y26),MIN(E181+F181,'Facility Master'!J26/'Facility Master'!V26),0),0)</f>
        <v>0</v>
      </c>
      <c r="H181" s="60">
        <f t="shared" si="25"/>
        <v>0</v>
      </c>
      <c r="I181" s="96">
        <f>'Facility Master'!Q26</f>
        <v>8.6000000000000007E-2</v>
      </c>
      <c r="J181" s="97">
        <f t="shared" si="29"/>
        <v>92</v>
      </c>
      <c r="K181" s="60">
        <f t="shared" si="26"/>
        <v>0</v>
      </c>
      <c r="L181" s="60">
        <f t="shared" si="27"/>
        <v>0</v>
      </c>
    </row>
    <row r="182" spans="2:12" ht="15.75" customHeight="1" x14ac:dyDescent="0.3">
      <c r="B182" s="92">
        <v>49</v>
      </c>
      <c r="C182" s="53">
        <v>49765</v>
      </c>
      <c r="D182" s="92" t="s">
        <v>566</v>
      </c>
      <c r="E182" s="45">
        <f t="shared" si="28"/>
        <v>0</v>
      </c>
      <c r="F182" s="45">
        <f>IF(AND('Facility Master'!W26&gt;C181,'Facility Master'!W26&lt;=C182),'Facility Master'!J26,0)</f>
        <v>0</v>
      </c>
      <c r="G182" s="45">
        <f>IFERROR(IF(AND('Facility Master'!X26&lt;&gt;"-",C182&gt;='Facility Master'!X26,C182&lt;='Facility Master'!Y26),MIN(E182+F182,'Facility Master'!J26/'Facility Master'!V26),0),0)</f>
        <v>0</v>
      </c>
      <c r="H182" s="45">
        <f t="shared" si="25"/>
        <v>0</v>
      </c>
      <c r="I182" s="93">
        <f>'Facility Master'!Q26</f>
        <v>8.6000000000000007E-2</v>
      </c>
      <c r="J182" s="94">
        <f t="shared" si="29"/>
        <v>91</v>
      </c>
      <c r="K182" s="45">
        <f t="shared" si="26"/>
        <v>0</v>
      </c>
      <c r="L182" s="45">
        <f t="shared" si="27"/>
        <v>0</v>
      </c>
    </row>
    <row r="183" spans="2:12" ht="15.75" customHeight="1" x14ac:dyDescent="0.3">
      <c r="B183" s="95">
        <v>50</v>
      </c>
      <c r="C183" s="67">
        <v>49856</v>
      </c>
      <c r="D183" s="95" t="s">
        <v>567</v>
      </c>
      <c r="E183" s="60">
        <f t="shared" si="28"/>
        <v>0</v>
      </c>
      <c r="F183" s="60">
        <f>IF(AND('Facility Master'!W26&gt;C182,'Facility Master'!W26&lt;=C183),'Facility Master'!J26,0)</f>
        <v>0</v>
      </c>
      <c r="G183" s="60">
        <f>IFERROR(IF(AND('Facility Master'!X26&lt;&gt;"-",C183&gt;='Facility Master'!X26,C183&lt;='Facility Master'!Y26),MIN(E183+F183,'Facility Master'!J26/'Facility Master'!V26),0),0)</f>
        <v>0</v>
      </c>
      <c r="H183" s="60">
        <f t="shared" si="25"/>
        <v>0</v>
      </c>
      <c r="I183" s="96">
        <f>'Facility Master'!Q26</f>
        <v>8.6000000000000007E-2</v>
      </c>
      <c r="J183" s="97">
        <f t="shared" si="29"/>
        <v>91</v>
      </c>
      <c r="K183" s="60">
        <f t="shared" si="26"/>
        <v>0</v>
      </c>
      <c r="L183" s="60">
        <f t="shared" si="27"/>
        <v>0</v>
      </c>
    </row>
    <row r="184" spans="2:12" ht="15.75" customHeight="1" x14ac:dyDescent="0.3">
      <c r="B184" s="92">
        <v>51</v>
      </c>
      <c r="C184" s="53">
        <v>49948</v>
      </c>
      <c r="D184" s="92" t="s">
        <v>568</v>
      </c>
      <c r="E184" s="45">
        <f t="shared" si="28"/>
        <v>0</v>
      </c>
      <c r="F184" s="45">
        <f>IF(AND('Facility Master'!W26&gt;C183,'Facility Master'!W26&lt;=C184),'Facility Master'!J26,0)</f>
        <v>0</v>
      </c>
      <c r="G184" s="45">
        <f>IFERROR(IF(AND('Facility Master'!X26&lt;&gt;"-",C184&gt;='Facility Master'!X26,C184&lt;='Facility Master'!Y26),MIN(E184+F184,'Facility Master'!J26/'Facility Master'!V26),0),0)</f>
        <v>0</v>
      </c>
      <c r="H184" s="45">
        <f t="shared" si="25"/>
        <v>0</v>
      </c>
      <c r="I184" s="93">
        <f>'Facility Master'!Q26</f>
        <v>8.6000000000000007E-2</v>
      </c>
      <c r="J184" s="94">
        <f t="shared" si="29"/>
        <v>92</v>
      </c>
      <c r="K184" s="45">
        <f t="shared" si="26"/>
        <v>0</v>
      </c>
      <c r="L184" s="45">
        <f t="shared" si="27"/>
        <v>0</v>
      </c>
    </row>
    <row r="185" spans="2:12" ht="15.75" customHeight="1" x14ac:dyDescent="0.3">
      <c r="B185" s="95">
        <v>52</v>
      </c>
      <c r="C185" s="67">
        <v>50040</v>
      </c>
      <c r="D185" s="95" t="s">
        <v>569</v>
      </c>
      <c r="E185" s="60">
        <f t="shared" si="28"/>
        <v>0</v>
      </c>
      <c r="F185" s="60">
        <f>IF(AND('Facility Master'!W26&gt;C184,'Facility Master'!W26&lt;=C185),'Facility Master'!J26,0)</f>
        <v>0</v>
      </c>
      <c r="G185" s="60">
        <f>IFERROR(IF(AND('Facility Master'!X26&lt;&gt;"-",C185&gt;='Facility Master'!X26,C185&lt;='Facility Master'!Y26),MIN(E185+F185,'Facility Master'!J26/'Facility Master'!V26),0),0)</f>
        <v>0</v>
      </c>
      <c r="H185" s="60">
        <f t="shared" si="25"/>
        <v>0</v>
      </c>
      <c r="I185" s="96">
        <f>'Facility Master'!Q26</f>
        <v>8.6000000000000007E-2</v>
      </c>
      <c r="J185" s="97">
        <f t="shared" si="29"/>
        <v>92</v>
      </c>
      <c r="K185" s="60">
        <f t="shared" si="26"/>
        <v>0</v>
      </c>
      <c r="L185" s="60">
        <f t="shared" si="27"/>
        <v>0</v>
      </c>
    </row>
    <row r="186" spans="2:12" ht="15.75" customHeight="1" x14ac:dyDescent="0.3">
      <c r="B186" s="92">
        <v>53</v>
      </c>
      <c r="C186" s="53">
        <v>50130</v>
      </c>
      <c r="D186" s="92" t="s">
        <v>570</v>
      </c>
      <c r="E186" s="45">
        <f t="shared" si="28"/>
        <v>0</v>
      </c>
      <c r="F186" s="45">
        <f>IF(AND('Facility Master'!W26&gt;C185,'Facility Master'!W26&lt;=C186),'Facility Master'!J26,0)</f>
        <v>0</v>
      </c>
      <c r="G186" s="45">
        <f>IFERROR(IF(AND('Facility Master'!X26&lt;&gt;"-",C186&gt;='Facility Master'!X26,C186&lt;='Facility Master'!Y26),MIN(E186+F186,'Facility Master'!J26/'Facility Master'!V26),0),0)</f>
        <v>0</v>
      </c>
      <c r="H186" s="45">
        <f t="shared" si="25"/>
        <v>0</v>
      </c>
      <c r="I186" s="93">
        <f>'Facility Master'!Q26</f>
        <v>8.6000000000000007E-2</v>
      </c>
      <c r="J186" s="94">
        <f t="shared" si="29"/>
        <v>90</v>
      </c>
      <c r="K186" s="45">
        <f t="shared" si="26"/>
        <v>0</v>
      </c>
      <c r="L186" s="45">
        <f t="shared" si="27"/>
        <v>0</v>
      </c>
    </row>
    <row r="187" spans="2:12" ht="19.5" customHeight="1" x14ac:dyDescent="0.3">
      <c r="B187" s="319" t="s">
        <v>419</v>
      </c>
      <c r="C187" s="319"/>
      <c r="D187" s="319"/>
      <c r="E187" s="71"/>
      <c r="F187" s="72">
        <f>SUM(F134:F186)</f>
        <v>150</v>
      </c>
      <c r="G187" s="72">
        <f>SUM(G134:G186)</f>
        <v>149.99999999999997</v>
      </c>
      <c r="H187" s="71"/>
      <c r="I187" s="71"/>
      <c r="J187" s="71"/>
      <c r="K187" s="72">
        <f>SUM(K134:K186)</f>
        <v>56.468424657534214</v>
      </c>
      <c r="L187" s="72">
        <f>SUM(L134:L186)</f>
        <v>206.4684246575342</v>
      </c>
    </row>
    <row r="188" spans="2:12" ht="21.75" customHeight="1" x14ac:dyDescent="0.3">
      <c r="B188" s="320" t="s">
        <v>571</v>
      </c>
      <c r="C188" s="320"/>
      <c r="D188" s="320"/>
      <c r="E188" s="98" t="s">
        <v>572</v>
      </c>
      <c r="F188" s="28">
        <f>SUMIFS(G134:G186,C134:C186,"&lt;="&amp;AsOfDate)</f>
        <v>0</v>
      </c>
      <c r="G188" s="98" t="s">
        <v>573</v>
      </c>
      <c r="H188" s="28">
        <f>'Facility Master'!J26-F188</f>
        <v>150</v>
      </c>
    </row>
    <row r="191" spans="2:12" ht="21.75" customHeight="1" x14ac:dyDescent="0.3">
      <c r="B191" s="331" t="s">
        <v>576</v>
      </c>
      <c r="C191" s="331"/>
      <c r="D191" s="331"/>
      <c r="E191" s="331"/>
      <c r="F191" s="331"/>
      <c r="G191" s="331"/>
      <c r="H191" s="331"/>
      <c r="I191" s="331"/>
      <c r="J191" s="331"/>
      <c r="K191" s="331"/>
      <c r="L191" s="331"/>
    </row>
    <row r="192" spans="2:12" ht="36" customHeight="1" x14ac:dyDescent="0.3">
      <c r="B192" s="328" t="s">
        <v>422</v>
      </c>
      <c r="C192" s="328" t="s">
        <v>509</v>
      </c>
      <c r="D192" s="328" t="s">
        <v>510</v>
      </c>
      <c r="E192" s="328" t="s">
        <v>577</v>
      </c>
      <c r="F192" s="328" t="s">
        <v>578</v>
      </c>
      <c r="G192" s="328" t="s">
        <v>579</v>
      </c>
      <c r="H192" s="328" t="s">
        <v>580</v>
      </c>
      <c r="I192" s="328" t="s">
        <v>581</v>
      </c>
      <c r="J192" s="328" t="s">
        <v>582</v>
      </c>
      <c r="K192" s="328"/>
      <c r="L192" s="328"/>
    </row>
    <row r="193" spans="2:10" ht="15.75" customHeight="1" x14ac:dyDescent="0.3">
      <c r="B193" s="92">
        <v>1</v>
      </c>
      <c r="C193" s="53">
        <v>45382</v>
      </c>
      <c r="D193" s="92" t="s">
        <v>518</v>
      </c>
      <c r="E193" s="45">
        <f t="shared" ref="E193:E224" si="30">G10+G72+G134</f>
        <v>0</v>
      </c>
      <c r="F193" s="45">
        <f t="shared" ref="F193:F224" si="31">K10+K72+K134</f>
        <v>0</v>
      </c>
      <c r="G193" s="45">
        <f t="shared" ref="G193:G224" si="32">L10+L72+L134</f>
        <v>0</v>
      </c>
      <c r="H193" s="45">
        <f>E193</f>
        <v>0</v>
      </c>
      <c r="I193" s="45">
        <f>F193</f>
        <v>0</v>
      </c>
      <c r="J193" s="45">
        <f t="shared" ref="J193:J224" si="33">H10+H72+H134</f>
        <v>200</v>
      </c>
    </row>
    <row r="194" spans="2:10" ht="15.75" customHeight="1" x14ac:dyDescent="0.3">
      <c r="B194" s="95">
        <v>2</v>
      </c>
      <c r="C194" s="67">
        <v>45473</v>
      </c>
      <c r="D194" s="95" t="s">
        <v>519</v>
      </c>
      <c r="E194" s="60">
        <f t="shared" si="30"/>
        <v>0</v>
      </c>
      <c r="F194" s="60">
        <f t="shared" si="31"/>
        <v>4.8616438356164382</v>
      </c>
      <c r="G194" s="60">
        <f t="shared" si="32"/>
        <v>4.8616438356164382</v>
      </c>
      <c r="H194" s="60">
        <f t="shared" ref="H194:H225" si="34">H193+E194</f>
        <v>0</v>
      </c>
      <c r="I194" s="60">
        <f t="shared" ref="I194:I225" si="35">I193+F194</f>
        <v>4.8616438356164382</v>
      </c>
      <c r="J194" s="60">
        <f t="shared" si="33"/>
        <v>200</v>
      </c>
    </row>
    <row r="195" spans="2:10" ht="15.75" customHeight="1" x14ac:dyDescent="0.3">
      <c r="B195" s="92">
        <v>3</v>
      </c>
      <c r="C195" s="53">
        <v>45565</v>
      </c>
      <c r="D195" s="92" t="s">
        <v>520</v>
      </c>
      <c r="E195" s="45">
        <f t="shared" si="30"/>
        <v>0</v>
      </c>
      <c r="F195" s="45">
        <f t="shared" si="31"/>
        <v>4.9150684931506845</v>
      </c>
      <c r="G195" s="45">
        <f t="shared" si="32"/>
        <v>4.9150684931506845</v>
      </c>
      <c r="H195" s="45">
        <f t="shared" si="34"/>
        <v>0</v>
      </c>
      <c r="I195" s="45">
        <f t="shared" si="35"/>
        <v>9.7767123287671218</v>
      </c>
      <c r="J195" s="45">
        <f t="shared" si="33"/>
        <v>200</v>
      </c>
    </row>
    <row r="196" spans="2:10" ht="15.75" customHeight="1" x14ac:dyDescent="0.3">
      <c r="B196" s="95">
        <v>4</v>
      </c>
      <c r="C196" s="67">
        <v>45657</v>
      </c>
      <c r="D196" s="95" t="s">
        <v>521</v>
      </c>
      <c r="E196" s="60">
        <f t="shared" si="30"/>
        <v>0</v>
      </c>
      <c r="F196" s="60">
        <f t="shared" si="31"/>
        <v>4.9150684931506845</v>
      </c>
      <c r="G196" s="60">
        <f t="shared" si="32"/>
        <v>4.9150684931506845</v>
      </c>
      <c r="H196" s="60">
        <f t="shared" si="34"/>
        <v>0</v>
      </c>
      <c r="I196" s="60">
        <f t="shared" si="35"/>
        <v>14.691780821917806</v>
      </c>
      <c r="J196" s="60">
        <f t="shared" si="33"/>
        <v>520.70000000000005</v>
      </c>
    </row>
    <row r="197" spans="2:10" ht="15.75" customHeight="1" x14ac:dyDescent="0.3">
      <c r="B197" s="92">
        <v>5</v>
      </c>
      <c r="C197" s="53">
        <v>45747</v>
      </c>
      <c r="D197" s="92" t="s">
        <v>522</v>
      </c>
      <c r="E197" s="45">
        <f t="shared" si="30"/>
        <v>6.823404255319149</v>
      </c>
      <c r="F197" s="45">
        <f t="shared" si="31"/>
        <v>10.89712602739726</v>
      </c>
      <c r="G197" s="45">
        <f t="shared" si="32"/>
        <v>17.72053028271641</v>
      </c>
      <c r="H197" s="45">
        <f t="shared" si="34"/>
        <v>6.823404255319149</v>
      </c>
      <c r="I197" s="45">
        <f t="shared" si="35"/>
        <v>25.588906849315066</v>
      </c>
      <c r="J197" s="45">
        <f t="shared" si="33"/>
        <v>513.8765957446808</v>
      </c>
    </row>
    <row r="198" spans="2:10" ht="15.75" customHeight="1" x14ac:dyDescent="0.3">
      <c r="B198" s="95">
        <v>6</v>
      </c>
      <c r="C198" s="67">
        <v>45838</v>
      </c>
      <c r="D198" s="95" t="s">
        <v>523</v>
      </c>
      <c r="E198" s="60">
        <f t="shared" si="30"/>
        <v>6.823404255319149</v>
      </c>
      <c r="F198" s="60">
        <f t="shared" si="31"/>
        <v>10.887214538035558</v>
      </c>
      <c r="G198" s="60">
        <f t="shared" si="32"/>
        <v>17.710618793354705</v>
      </c>
      <c r="H198" s="60">
        <f t="shared" si="34"/>
        <v>13.646808510638298</v>
      </c>
      <c r="I198" s="60">
        <f t="shared" si="35"/>
        <v>36.476121387350624</v>
      </c>
      <c r="J198" s="60">
        <f t="shared" si="33"/>
        <v>507.05319148936172</v>
      </c>
    </row>
    <row r="199" spans="2:10" ht="15.75" customHeight="1" x14ac:dyDescent="0.3">
      <c r="B199" s="92">
        <v>7</v>
      </c>
      <c r="C199" s="53">
        <v>45930</v>
      </c>
      <c r="D199" s="92" t="s">
        <v>524</v>
      </c>
      <c r="E199" s="45">
        <f t="shared" si="30"/>
        <v>6.823404255319149</v>
      </c>
      <c r="F199" s="45">
        <f t="shared" si="31"/>
        <v>10.874424132905858</v>
      </c>
      <c r="G199" s="45">
        <f t="shared" si="32"/>
        <v>17.697828388225005</v>
      </c>
      <c r="H199" s="45">
        <f t="shared" si="34"/>
        <v>20.470212765957449</v>
      </c>
      <c r="I199" s="45">
        <f t="shared" si="35"/>
        <v>47.350545520256482</v>
      </c>
      <c r="J199" s="45">
        <f t="shared" si="33"/>
        <v>650.22978723404253</v>
      </c>
    </row>
    <row r="200" spans="2:10" ht="15.75" customHeight="1" x14ac:dyDescent="0.3">
      <c r="B200" s="95">
        <v>8</v>
      </c>
      <c r="C200" s="67">
        <v>46022</v>
      </c>
      <c r="D200" s="95" t="s">
        <v>525</v>
      </c>
      <c r="E200" s="60">
        <f t="shared" si="30"/>
        <v>6.823404255319149</v>
      </c>
      <c r="F200" s="60">
        <f t="shared" si="31"/>
        <v>13.993500856893034</v>
      </c>
      <c r="G200" s="60">
        <f t="shared" si="32"/>
        <v>20.816905112212179</v>
      </c>
      <c r="H200" s="60">
        <f t="shared" si="34"/>
        <v>27.293617021276596</v>
      </c>
      <c r="I200" s="60">
        <f t="shared" si="35"/>
        <v>61.344046377149517</v>
      </c>
      <c r="J200" s="60">
        <f t="shared" si="33"/>
        <v>643.40638297872351</v>
      </c>
    </row>
    <row r="201" spans="2:10" ht="15.75" customHeight="1" x14ac:dyDescent="0.3">
      <c r="B201" s="92">
        <v>9</v>
      </c>
      <c r="C201" s="53">
        <v>46112</v>
      </c>
      <c r="D201" s="92" t="s">
        <v>526</v>
      </c>
      <c r="E201" s="45">
        <f t="shared" si="30"/>
        <v>23.490070921985819</v>
      </c>
      <c r="F201" s="45">
        <f t="shared" si="31"/>
        <v>13.559743106965898</v>
      </c>
      <c r="G201" s="45">
        <f t="shared" si="32"/>
        <v>37.049814028951715</v>
      </c>
      <c r="H201" s="45">
        <f t="shared" si="34"/>
        <v>50.783687943262414</v>
      </c>
      <c r="I201" s="45">
        <f t="shared" si="35"/>
        <v>74.903789484115421</v>
      </c>
      <c r="J201" s="45">
        <f t="shared" si="33"/>
        <v>619.91631205673764</v>
      </c>
    </row>
    <row r="202" spans="2:10" ht="15.75" customHeight="1" x14ac:dyDescent="0.3">
      <c r="B202" s="95">
        <v>10</v>
      </c>
      <c r="C202" s="67">
        <v>46203</v>
      </c>
      <c r="D202" s="95" t="s">
        <v>527</v>
      </c>
      <c r="E202" s="60">
        <f t="shared" si="30"/>
        <v>23.490070921985819</v>
      </c>
      <c r="F202" s="60">
        <f t="shared" si="31"/>
        <v>13.174279265520257</v>
      </c>
      <c r="G202" s="60">
        <f t="shared" si="32"/>
        <v>36.664350187506074</v>
      </c>
      <c r="H202" s="60">
        <f t="shared" si="34"/>
        <v>74.273758865248226</v>
      </c>
      <c r="I202" s="60">
        <f t="shared" si="35"/>
        <v>88.078068749635676</v>
      </c>
      <c r="J202" s="60">
        <f t="shared" si="33"/>
        <v>596.42624113475188</v>
      </c>
    </row>
    <row r="203" spans="2:10" ht="15.75" customHeight="1" x14ac:dyDescent="0.3">
      <c r="B203" s="92">
        <v>11</v>
      </c>
      <c r="C203" s="53">
        <v>46295</v>
      </c>
      <c r="D203" s="92" t="s">
        <v>528</v>
      </c>
      <c r="E203" s="45">
        <f t="shared" si="30"/>
        <v>28.847213779128676</v>
      </c>
      <c r="F203" s="45">
        <f t="shared" si="31"/>
        <v>12.777032398717578</v>
      </c>
      <c r="G203" s="45">
        <f t="shared" si="32"/>
        <v>41.624246177846253</v>
      </c>
      <c r="H203" s="45">
        <f t="shared" si="34"/>
        <v>103.12097264437691</v>
      </c>
      <c r="I203" s="45">
        <f t="shared" si="35"/>
        <v>100.85510114835326</v>
      </c>
      <c r="J203" s="45">
        <f t="shared" si="33"/>
        <v>567.57902735562323</v>
      </c>
    </row>
    <row r="204" spans="2:10" ht="15.75" customHeight="1" x14ac:dyDescent="0.3">
      <c r="B204" s="95">
        <v>12</v>
      </c>
      <c r="C204" s="67">
        <v>46387</v>
      </c>
      <c r="D204" s="95" t="s">
        <v>529</v>
      </c>
      <c r="E204" s="60">
        <f t="shared" si="30"/>
        <v>28.847213779128676</v>
      </c>
      <c r="F204" s="60">
        <f t="shared" si="31"/>
        <v>12.118887987675398</v>
      </c>
      <c r="G204" s="60">
        <f t="shared" si="32"/>
        <v>40.966101766804073</v>
      </c>
      <c r="H204" s="60">
        <f t="shared" si="34"/>
        <v>131.96818642350559</v>
      </c>
      <c r="I204" s="60">
        <f t="shared" si="35"/>
        <v>112.97398913602865</v>
      </c>
      <c r="J204" s="60">
        <f t="shared" si="33"/>
        <v>538.73181357649457</v>
      </c>
    </row>
    <row r="205" spans="2:10" ht="15.75" customHeight="1" x14ac:dyDescent="0.3">
      <c r="B205" s="92">
        <v>13</v>
      </c>
      <c r="C205" s="53">
        <v>46477</v>
      </c>
      <c r="D205" s="92" t="s">
        <v>530</v>
      </c>
      <c r="E205" s="45">
        <f t="shared" si="30"/>
        <v>28.847213779128676</v>
      </c>
      <c r="F205" s="45">
        <f t="shared" si="31"/>
        <v>11.211596977141195</v>
      </c>
      <c r="G205" s="45">
        <f t="shared" si="32"/>
        <v>40.058810756269864</v>
      </c>
      <c r="H205" s="45">
        <f t="shared" si="34"/>
        <v>160.81540020263427</v>
      </c>
      <c r="I205" s="45">
        <f t="shared" si="35"/>
        <v>124.18558611316985</v>
      </c>
      <c r="J205" s="45">
        <f t="shared" si="33"/>
        <v>509.88459979736592</v>
      </c>
    </row>
    <row r="206" spans="2:10" ht="15.75" customHeight="1" x14ac:dyDescent="0.3">
      <c r="B206" s="95">
        <v>14</v>
      </c>
      <c r="C206" s="67">
        <v>46568</v>
      </c>
      <c r="D206" s="95" t="s">
        <v>531</v>
      </c>
      <c r="E206" s="60">
        <f t="shared" si="30"/>
        <v>28.847213779128676</v>
      </c>
      <c r="F206" s="60">
        <f t="shared" si="31"/>
        <v>10.685179609443313</v>
      </c>
      <c r="G206" s="60">
        <f t="shared" si="32"/>
        <v>39.53239338857199</v>
      </c>
      <c r="H206" s="60">
        <f t="shared" si="34"/>
        <v>189.66261398176295</v>
      </c>
      <c r="I206" s="60">
        <f t="shared" si="35"/>
        <v>134.87076572261316</v>
      </c>
      <c r="J206" s="60">
        <f t="shared" si="33"/>
        <v>481.03738601823721</v>
      </c>
    </row>
    <row r="207" spans="2:10" ht="15.75" customHeight="1" x14ac:dyDescent="0.3">
      <c r="B207" s="92">
        <v>15</v>
      </c>
      <c r="C207" s="53">
        <v>46660</v>
      </c>
      <c r="D207" s="92" t="s">
        <v>532</v>
      </c>
      <c r="E207" s="45">
        <f t="shared" si="30"/>
        <v>28.847213779128676</v>
      </c>
      <c r="F207" s="45">
        <f t="shared" si="31"/>
        <v>10.144454754548864</v>
      </c>
      <c r="G207" s="45">
        <f t="shared" si="32"/>
        <v>38.99166853367754</v>
      </c>
      <c r="H207" s="45">
        <f t="shared" si="34"/>
        <v>218.50982776089162</v>
      </c>
      <c r="I207" s="45">
        <f t="shared" si="35"/>
        <v>145.01522047716202</v>
      </c>
      <c r="J207" s="45">
        <f t="shared" si="33"/>
        <v>452.19017223910851</v>
      </c>
    </row>
    <row r="208" spans="2:10" ht="15.75" customHeight="1" x14ac:dyDescent="0.3">
      <c r="B208" s="95">
        <v>16</v>
      </c>
      <c r="C208" s="67">
        <v>46752</v>
      </c>
      <c r="D208" s="95" t="s">
        <v>533</v>
      </c>
      <c r="E208" s="60">
        <f t="shared" si="30"/>
        <v>28.847213779128676</v>
      </c>
      <c r="F208" s="60">
        <f t="shared" si="31"/>
        <v>9.486310343506684</v>
      </c>
      <c r="G208" s="60">
        <f t="shared" si="32"/>
        <v>38.33352412263536</v>
      </c>
      <c r="H208" s="60">
        <f t="shared" si="34"/>
        <v>247.3570415400203</v>
      </c>
      <c r="I208" s="60">
        <f t="shared" si="35"/>
        <v>154.50153082066871</v>
      </c>
      <c r="J208" s="60">
        <f t="shared" si="33"/>
        <v>423.3429584599798</v>
      </c>
    </row>
    <row r="209" spans="2:10" ht="15.75" customHeight="1" x14ac:dyDescent="0.3">
      <c r="B209" s="92">
        <v>17</v>
      </c>
      <c r="C209" s="53">
        <v>46843</v>
      </c>
      <c r="D209" s="92" t="s">
        <v>534</v>
      </c>
      <c r="E209" s="45">
        <f t="shared" si="30"/>
        <v>28.847213779128676</v>
      </c>
      <c r="F209" s="45">
        <f t="shared" si="31"/>
        <v>8.732207607111631</v>
      </c>
      <c r="G209" s="45">
        <f t="shared" si="32"/>
        <v>37.579421386240305</v>
      </c>
      <c r="H209" s="45">
        <f t="shared" si="34"/>
        <v>276.20425531914896</v>
      </c>
      <c r="I209" s="45">
        <f t="shared" si="35"/>
        <v>163.23373842778034</v>
      </c>
      <c r="J209" s="45">
        <f t="shared" si="33"/>
        <v>394.49574468085109</v>
      </c>
    </row>
    <row r="210" spans="2:10" ht="15.75" customHeight="1" x14ac:dyDescent="0.3">
      <c r="B210" s="95">
        <v>18</v>
      </c>
      <c r="C210" s="67">
        <v>46934</v>
      </c>
      <c r="D210" s="95" t="s">
        <v>535</v>
      </c>
      <c r="E210" s="60">
        <f t="shared" si="30"/>
        <v>28.847213779128676</v>
      </c>
      <c r="F210" s="60">
        <f t="shared" si="31"/>
        <v>8.0812169396677369</v>
      </c>
      <c r="G210" s="60">
        <f t="shared" si="32"/>
        <v>36.928430718796406</v>
      </c>
      <c r="H210" s="60">
        <f t="shared" si="34"/>
        <v>305.05146909827761</v>
      </c>
      <c r="I210" s="60">
        <f t="shared" si="35"/>
        <v>171.31495536744808</v>
      </c>
      <c r="J210" s="60">
        <f t="shared" si="33"/>
        <v>365.64853090172244</v>
      </c>
    </row>
    <row r="211" spans="2:10" ht="15.75" customHeight="1" x14ac:dyDescent="0.3">
      <c r="B211" s="92">
        <v>19</v>
      </c>
      <c r="C211" s="53">
        <v>47026</v>
      </c>
      <c r="D211" s="92" t="s">
        <v>536</v>
      </c>
      <c r="E211" s="45">
        <f t="shared" si="30"/>
        <v>28.847213779128676</v>
      </c>
      <c r="F211" s="45">
        <f t="shared" si="31"/>
        <v>7.5118771103801487</v>
      </c>
      <c r="G211" s="45">
        <f t="shared" si="32"/>
        <v>36.359090889508821</v>
      </c>
      <c r="H211" s="45">
        <f t="shared" si="34"/>
        <v>333.89868287740626</v>
      </c>
      <c r="I211" s="45">
        <f t="shared" si="35"/>
        <v>178.82683247782822</v>
      </c>
      <c r="J211" s="45">
        <f t="shared" si="33"/>
        <v>336.80131712259379</v>
      </c>
    </row>
    <row r="212" spans="2:10" ht="15.75" customHeight="1" x14ac:dyDescent="0.3">
      <c r="B212" s="95">
        <v>20</v>
      </c>
      <c r="C212" s="67">
        <v>47118</v>
      </c>
      <c r="D212" s="95" t="s">
        <v>537</v>
      </c>
      <c r="E212" s="60">
        <f t="shared" si="30"/>
        <v>28.847213779128676</v>
      </c>
      <c r="F212" s="60">
        <f t="shared" si="31"/>
        <v>6.8537326993379697</v>
      </c>
      <c r="G212" s="60">
        <f t="shared" si="32"/>
        <v>35.700946478466648</v>
      </c>
      <c r="H212" s="60">
        <f t="shared" si="34"/>
        <v>362.74589665653491</v>
      </c>
      <c r="I212" s="60">
        <f t="shared" si="35"/>
        <v>185.68056517716619</v>
      </c>
      <c r="J212" s="60">
        <f t="shared" si="33"/>
        <v>307.95410334346502</v>
      </c>
    </row>
    <row r="213" spans="2:10" ht="15.75" customHeight="1" x14ac:dyDescent="0.3">
      <c r="B213" s="92">
        <v>21</v>
      </c>
      <c r="C213" s="53">
        <v>47208</v>
      </c>
      <c r="D213" s="92" t="s">
        <v>538</v>
      </c>
      <c r="E213" s="45">
        <f t="shared" si="30"/>
        <v>12.180547112462005</v>
      </c>
      <c r="F213" s="45">
        <f t="shared" si="31"/>
        <v>6.0609015863763176</v>
      </c>
      <c r="G213" s="45">
        <f t="shared" si="32"/>
        <v>18.241448698838322</v>
      </c>
      <c r="H213" s="45">
        <f t="shared" si="34"/>
        <v>374.92644376899693</v>
      </c>
      <c r="I213" s="45">
        <f t="shared" si="35"/>
        <v>191.74146676354252</v>
      </c>
      <c r="J213" s="45">
        <f t="shared" si="33"/>
        <v>295.773556231003</v>
      </c>
    </row>
    <row r="214" spans="2:10" ht="15.75" customHeight="1" x14ac:dyDescent="0.3">
      <c r="B214" s="95">
        <v>22</v>
      </c>
      <c r="C214" s="67">
        <v>47299</v>
      </c>
      <c r="D214" s="95" t="s">
        <v>539</v>
      </c>
      <c r="E214" s="60">
        <f t="shared" si="30"/>
        <v>12.180547112462005</v>
      </c>
      <c r="F214" s="60">
        <f t="shared" si="31"/>
        <v>5.8823912561935296</v>
      </c>
      <c r="G214" s="60">
        <f t="shared" si="32"/>
        <v>18.062938368655537</v>
      </c>
      <c r="H214" s="60">
        <f t="shared" si="34"/>
        <v>387.10699088145896</v>
      </c>
      <c r="I214" s="60">
        <f t="shared" si="35"/>
        <v>197.62385801973605</v>
      </c>
      <c r="J214" s="60">
        <f t="shared" si="33"/>
        <v>283.59300911854098</v>
      </c>
    </row>
    <row r="215" spans="2:10" ht="15.75" customHeight="1" x14ac:dyDescent="0.3">
      <c r="B215" s="92">
        <v>23</v>
      </c>
      <c r="C215" s="53">
        <v>47391</v>
      </c>
      <c r="D215" s="92" t="s">
        <v>540</v>
      </c>
      <c r="E215" s="45">
        <f t="shared" si="30"/>
        <v>12.180547112462005</v>
      </c>
      <c r="F215" s="45">
        <f t="shared" si="31"/>
        <v>5.6984775484032131</v>
      </c>
      <c r="G215" s="45">
        <f t="shared" si="32"/>
        <v>17.87902466086522</v>
      </c>
      <c r="H215" s="45">
        <f t="shared" si="34"/>
        <v>399.28753799392098</v>
      </c>
      <c r="I215" s="45">
        <f t="shared" si="35"/>
        <v>203.32233556813927</v>
      </c>
      <c r="J215" s="45">
        <f t="shared" si="33"/>
        <v>271.41246200607895</v>
      </c>
    </row>
    <row r="216" spans="2:10" ht="15.75" customHeight="1" x14ac:dyDescent="0.3">
      <c r="B216" s="95">
        <v>24</v>
      </c>
      <c r="C216" s="67">
        <v>47483</v>
      </c>
      <c r="D216" s="95" t="s">
        <v>541</v>
      </c>
      <c r="E216" s="60">
        <f t="shared" si="30"/>
        <v>12.180547112462005</v>
      </c>
      <c r="F216" s="60">
        <f t="shared" si="31"/>
        <v>5.4499221784569265</v>
      </c>
      <c r="G216" s="60">
        <f t="shared" si="32"/>
        <v>17.630469290918931</v>
      </c>
      <c r="H216" s="60">
        <f t="shared" si="34"/>
        <v>411.468085106383</v>
      </c>
      <c r="I216" s="60">
        <f t="shared" si="35"/>
        <v>208.77225774659618</v>
      </c>
      <c r="J216" s="60">
        <f t="shared" si="33"/>
        <v>259.23191489361693</v>
      </c>
    </row>
    <row r="217" spans="2:10" ht="15.75" customHeight="1" x14ac:dyDescent="0.3">
      <c r="B217" s="92">
        <v>25</v>
      </c>
      <c r="C217" s="53">
        <v>47573</v>
      </c>
      <c r="D217" s="92" t="s">
        <v>542</v>
      </c>
      <c r="E217" s="45">
        <f t="shared" si="30"/>
        <v>12.180547112462005</v>
      </c>
      <c r="F217" s="45">
        <f t="shared" si="31"/>
        <v>5.088293617021276</v>
      </c>
      <c r="G217" s="45">
        <f t="shared" si="32"/>
        <v>17.26884072948328</v>
      </c>
      <c r="H217" s="45">
        <f t="shared" si="34"/>
        <v>423.64863221884502</v>
      </c>
      <c r="I217" s="45">
        <f t="shared" si="35"/>
        <v>213.86055136361745</v>
      </c>
      <c r="J217" s="45">
        <f t="shared" si="33"/>
        <v>247.05136778115494</v>
      </c>
    </row>
    <row r="218" spans="2:10" ht="15.75" customHeight="1" x14ac:dyDescent="0.3">
      <c r="B218" s="95">
        <v>26</v>
      </c>
      <c r="C218" s="67">
        <v>47664</v>
      </c>
      <c r="D218" s="95" t="s">
        <v>543</v>
      </c>
      <c r="E218" s="60">
        <f t="shared" si="30"/>
        <v>12.180547112462005</v>
      </c>
      <c r="F218" s="60">
        <f t="shared" si="31"/>
        <v>4.8989765316234317</v>
      </c>
      <c r="G218" s="60">
        <f t="shared" si="32"/>
        <v>17.079523644085437</v>
      </c>
      <c r="H218" s="60">
        <f t="shared" si="34"/>
        <v>435.82917933130705</v>
      </c>
      <c r="I218" s="60">
        <f t="shared" si="35"/>
        <v>218.75952789524086</v>
      </c>
      <c r="J218" s="60">
        <f t="shared" si="33"/>
        <v>234.87082066869291</v>
      </c>
    </row>
    <row r="219" spans="2:10" ht="15.75" customHeight="1" x14ac:dyDescent="0.3">
      <c r="B219" s="92">
        <v>27</v>
      </c>
      <c r="C219" s="53">
        <v>47756</v>
      </c>
      <c r="D219" s="92" t="s">
        <v>544</v>
      </c>
      <c r="E219" s="45">
        <f t="shared" si="30"/>
        <v>12.180547112462005</v>
      </c>
      <c r="F219" s="45">
        <f t="shared" si="31"/>
        <v>4.7042560686180606</v>
      </c>
      <c r="G219" s="45">
        <f t="shared" si="32"/>
        <v>16.884803181080066</v>
      </c>
      <c r="H219" s="45">
        <f t="shared" si="34"/>
        <v>448.00972644376907</v>
      </c>
      <c r="I219" s="45">
        <f t="shared" si="35"/>
        <v>223.46378396385893</v>
      </c>
      <c r="J219" s="45">
        <f t="shared" si="33"/>
        <v>222.69027355623089</v>
      </c>
    </row>
    <row r="220" spans="2:10" ht="15.75" customHeight="1" x14ac:dyDescent="0.3">
      <c r="B220" s="95">
        <v>28</v>
      </c>
      <c r="C220" s="67">
        <v>47848</v>
      </c>
      <c r="D220" s="95" t="s">
        <v>545</v>
      </c>
      <c r="E220" s="60">
        <f t="shared" si="30"/>
        <v>12.180547112462005</v>
      </c>
      <c r="F220" s="60">
        <f t="shared" si="31"/>
        <v>4.4557006986717722</v>
      </c>
      <c r="G220" s="60">
        <f t="shared" si="32"/>
        <v>16.636247811133778</v>
      </c>
      <c r="H220" s="60">
        <f t="shared" si="34"/>
        <v>460.19027355623109</v>
      </c>
      <c r="I220" s="60">
        <f t="shared" si="35"/>
        <v>227.91948466253069</v>
      </c>
      <c r="J220" s="60">
        <f t="shared" si="33"/>
        <v>210.5097264437689</v>
      </c>
    </row>
    <row r="221" spans="2:10" ht="15.75" customHeight="1" x14ac:dyDescent="0.3">
      <c r="B221" s="92">
        <v>29</v>
      </c>
      <c r="C221" s="53">
        <v>47938</v>
      </c>
      <c r="D221" s="92" t="s">
        <v>546</v>
      </c>
      <c r="E221" s="45">
        <f t="shared" si="30"/>
        <v>12.180547112462005</v>
      </c>
      <c r="F221" s="45">
        <f t="shared" si="31"/>
        <v>4.1156856476662345</v>
      </c>
      <c r="G221" s="45">
        <f t="shared" si="32"/>
        <v>16.296232760128241</v>
      </c>
      <c r="H221" s="45">
        <f t="shared" si="34"/>
        <v>472.37082066869311</v>
      </c>
      <c r="I221" s="45">
        <f t="shared" si="35"/>
        <v>232.03517031019692</v>
      </c>
      <c r="J221" s="45">
        <f t="shared" si="33"/>
        <v>198.32917933130688</v>
      </c>
    </row>
    <row r="222" spans="2:10" ht="15.75" customHeight="1" x14ac:dyDescent="0.3">
      <c r="B222" s="95">
        <v>30</v>
      </c>
      <c r="C222" s="67">
        <v>48029</v>
      </c>
      <c r="D222" s="95" t="s">
        <v>547</v>
      </c>
      <c r="E222" s="60">
        <f t="shared" si="30"/>
        <v>12.180547112462005</v>
      </c>
      <c r="F222" s="60">
        <f t="shared" si="31"/>
        <v>3.9155618070533356</v>
      </c>
      <c r="G222" s="60">
        <f t="shared" si="32"/>
        <v>16.096108919515341</v>
      </c>
      <c r="H222" s="60">
        <f t="shared" si="34"/>
        <v>484.55136778115514</v>
      </c>
      <c r="I222" s="60">
        <f t="shared" si="35"/>
        <v>235.95073211725025</v>
      </c>
      <c r="J222" s="60">
        <f t="shared" si="33"/>
        <v>186.14863221884485</v>
      </c>
    </row>
    <row r="223" spans="2:10" ht="15.75" customHeight="1" x14ac:dyDescent="0.3">
      <c r="B223" s="92">
        <v>31</v>
      </c>
      <c r="C223" s="53">
        <v>48121</v>
      </c>
      <c r="D223" s="92" t="s">
        <v>548</v>
      </c>
      <c r="E223" s="45">
        <f t="shared" si="30"/>
        <v>12.180547112462005</v>
      </c>
      <c r="F223" s="45">
        <f t="shared" si="31"/>
        <v>3.7100345888329076</v>
      </c>
      <c r="G223" s="45">
        <f t="shared" si="32"/>
        <v>15.890581701294913</v>
      </c>
      <c r="H223" s="45">
        <f t="shared" si="34"/>
        <v>496.73191489361716</v>
      </c>
      <c r="I223" s="45">
        <f t="shared" si="35"/>
        <v>239.66076670608317</v>
      </c>
      <c r="J223" s="45">
        <f t="shared" si="33"/>
        <v>173.96808510638283</v>
      </c>
    </row>
    <row r="224" spans="2:10" ht="15.75" customHeight="1" x14ac:dyDescent="0.3">
      <c r="B224" s="95">
        <v>32</v>
      </c>
      <c r="C224" s="67">
        <v>48213</v>
      </c>
      <c r="D224" s="95" t="s">
        <v>549</v>
      </c>
      <c r="E224" s="60">
        <f t="shared" si="30"/>
        <v>12.180547112462005</v>
      </c>
      <c r="F224" s="60">
        <f t="shared" si="31"/>
        <v>3.4614792188866188</v>
      </c>
      <c r="G224" s="60">
        <f t="shared" si="32"/>
        <v>15.642026331348625</v>
      </c>
      <c r="H224" s="60">
        <f t="shared" si="34"/>
        <v>508.91246200607918</v>
      </c>
      <c r="I224" s="60">
        <f t="shared" si="35"/>
        <v>243.12224592496977</v>
      </c>
      <c r="J224" s="60">
        <f t="shared" si="33"/>
        <v>161.78753799392081</v>
      </c>
    </row>
    <row r="225" spans="2:10" ht="15.75" customHeight="1" x14ac:dyDescent="0.3">
      <c r="B225" s="92">
        <v>33</v>
      </c>
      <c r="C225" s="53">
        <v>48304</v>
      </c>
      <c r="D225" s="92" t="s">
        <v>550</v>
      </c>
      <c r="E225" s="45">
        <f t="shared" ref="E225:E245" si="36">G42+G104+G166</f>
        <v>12.180547112462005</v>
      </c>
      <c r="F225" s="45">
        <f t="shared" ref="F225:F245" si="37">K42+K104+K166</f>
        <v>3.1780007636257617</v>
      </c>
      <c r="G225" s="45">
        <f t="shared" ref="G225:G245" si="38">L42+L104+L166</f>
        <v>15.358547876087767</v>
      </c>
      <c r="H225" s="45">
        <f t="shared" si="34"/>
        <v>521.0930091185412</v>
      </c>
      <c r="I225" s="45">
        <f t="shared" si="35"/>
        <v>246.30024668859554</v>
      </c>
      <c r="J225" s="45">
        <f t="shared" ref="J225:J245" si="39">H42+H104+H166</f>
        <v>149.60699088145881</v>
      </c>
    </row>
    <row r="226" spans="2:10" ht="15.75" customHeight="1" x14ac:dyDescent="0.3">
      <c r="B226" s="95">
        <v>34</v>
      </c>
      <c r="C226" s="67">
        <v>48395</v>
      </c>
      <c r="D226" s="95" t="s">
        <v>551</v>
      </c>
      <c r="E226" s="60">
        <f t="shared" si="36"/>
        <v>12.180547112462005</v>
      </c>
      <c r="F226" s="60">
        <f t="shared" si="37"/>
        <v>2.9321470824832385</v>
      </c>
      <c r="G226" s="60">
        <f t="shared" si="38"/>
        <v>15.112694194945245</v>
      </c>
      <c r="H226" s="60">
        <f t="shared" ref="H226:H245" si="40">H225+E226</f>
        <v>533.27355623100323</v>
      </c>
      <c r="I226" s="60">
        <f t="shared" ref="I226:I245" si="41">I225+F226</f>
        <v>249.23239377107876</v>
      </c>
      <c r="J226" s="60">
        <f t="shared" si="39"/>
        <v>137.42644376899682</v>
      </c>
    </row>
    <row r="227" spans="2:10" ht="15.75" customHeight="1" x14ac:dyDescent="0.3">
      <c r="B227" s="92">
        <v>35</v>
      </c>
      <c r="C227" s="53">
        <v>48487</v>
      </c>
      <c r="D227" s="92" t="s">
        <v>552</v>
      </c>
      <c r="E227" s="45">
        <f t="shared" si="36"/>
        <v>12.180547112462005</v>
      </c>
      <c r="F227" s="45">
        <f t="shared" si="37"/>
        <v>2.7158131090477546</v>
      </c>
      <c r="G227" s="45">
        <f t="shared" si="38"/>
        <v>14.896360221509759</v>
      </c>
      <c r="H227" s="45">
        <f t="shared" si="40"/>
        <v>545.45410334346525</v>
      </c>
      <c r="I227" s="45">
        <f t="shared" si="41"/>
        <v>251.94820688012652</v>
      </c>
      <c r="J227" s="45">
        <f t="shared" si="39"/>
        <v>125.24589665653481</v>
      </c>
    </row>
    <row r="228" spans="2:10" ht="15.75" customHeight="1" x14ac:dyDescent="0.3">
      <c r="B228" s="95">
        <v>36</v>
      </c>
      <c r="C228" s="67">
        <v>48579</v>
      </c>
      <c r="D228" s="95" t="s">
        <v>553</v>
      </c>
      <c r="E228" s="60">
        <f t="shared" si="36"/>
        <v>12.180547112462005</v>
      </c>
      <c r="F228" s="60">
        <f t="shared" si="37"/>
        <v>2.4672577391014667</v>
      </c>
      <c r="G228" s="60">
        <f t="shared" si="38"/>
        <v>14.647804851563473</v>
      </c>
      <c r="H228" s="60">
        <f t="shared" si="40"/>
        <v>557.63465045592727</v>
      </c>
      <c r="I228" s="60">
        <f t="shared" si="41"/>
        <v>254.41546461922798</v>
      </c>
      <c r="J228" s="60">
        <f t="shared" si="39"/>
        <v>113.0653495440728</v>
      </c>
    </row>
    <row r="229" spans="2:10" ht="15.75" customHeight="1" x14ac:dyDescent="0.3">
      <c r="B229" s="92">
        <v>37</v>
      </c>
      <c r="C229" s="53">
        <v>48669</v>
      </c>
      <c r="D229" s="92" t="s">
        <v>554</v>
      </c>
      <c r="E229" s="45">
        <f t="shared" si="36"/>
        <v>12.180547112462005</v>
      </c>
      <c r="F229" s="45">
        <f t="shared" si="37"/>
        <v>2.1704697089561531</v>
      </c>
      <c r="G229" s="45">
        <f t="shared" si="38"/>
        <v>14.351016821418158</v>
      </c>
      <c r="H229" s="45">
        <f t="shared" si="40"/>
        <v>569.81519756838929</v>
      </c>
      <c r="I229" s="45">
        <f t="shared" si="41"/>
        <v>256.58593432818412</v>
      </c>
      <c r="J229" s="45">
        <f t="shared" si="39"/>
        <v>100.88480243161079</v>
      </c>
    </row>
    <row r="230" spans="2:10" ht="15.75" customHeight="1" x14ac:dyDescent="0.3">
      <c r="B230" s="95">
        <v>38</v>
      </c>
      <c r="C230" s="67">
        <v>48760</v>
      </c>
      <c r="D230" s="95" t="s">
        <v>555</v>
      </c>
      <c r="E230" s="60">
        <f t="shared" si="36"/>
        <v>12.180547112461959</v>
      </c>
      <c r="F230" s="60">
        <f t="shared" si="37"/>
        <v>1.9487323579131417</v>
      </c>
      <c r="G230" s="60">
        <f t="shared" si="38"/>
        <v>14.129279470375099</v>
      </c>
      <c r="H230" s="60">
        <f t="shared" si="40"/>
        <v>581.9957446808512</v>
      </c>
      <c r="I230" s="60">
        <f t="shared" si="41"/>
        <v>258.53466668609724</v>
      </c>
      <c r="J230" s="60">
        <f t="shared" si="39"/>
        <v>88.704255319148842</v>
      </c>
    </row>
    <row r="231" spans="2:10" ht="15.75" customHeight="1" x14ac:dyDescent="0.3">
      <c r="B231" s="92">
        <v>39</v>
      </c>
      <c r="C231" s="53">
        <v>48852</v>
      </c>
      <c r="D231" s="92" t="s">
        <v>556</v>
      </c>
      <c r="E231" s="45">
        <f t="shared" si="36"/>
        <v>6.823404255319149</v>
      </c>
      <c r="F231" s="45">
        <f t="shared" si="37"/>
        <v>1.7215916292626037</v>
      </c>
      <c r="G231" s="45">
        <f t="shared" si="38"/>
        <v>8.544995884581752</v>
      </c>
      <c r="H231" s="45">
        <f t="shared" si="40"/>
        <v>588.81914893617034</v>
      </c>
      <c r="I231" s="45">
        <f t="shared" si="41"/>
        <v>260.25625831535984</v>
      </c>
      <c r="J231" s="45">
        <f t="shared" si="39"/>
        <v>81.880851063829695</v>
      </c>
    </row>
    <row r="232" spans="2:10" ht="15.75" customHeight="1" x14ac:dyDescent="0.3">
      <c r="B232" s="95">
        <v>40</v>
      </c>
      <c r="C232" s="67">
        <v>48944</v>
      </c>
      <c r="D232" s="95" t="s">
        <v>557</v>
      </c>
      <c r="E232" s="60">
        <f t="shared" si="36"/>
        <v>6.823404255319149</v>
      </c>
      <c r="F232" s="60">
        <f t="shared" si="37"/>
        <v>1.5891615039347109</v>
      </c>
      <c r="G232" s="60">
        <f t="shared" si="38"/>
        <v>8.4125657592538605</v>
      </c>
      <c r="H232" s="60">
        <f t="shared" si="40"/>
        <v>595.64255319148947</v>
      </c>
      <c r="I232" s="60">
        <f t="shared" si="41"/>
        <v>261.84541981929453</v>
      </c>
      <c r="J232" s="60">
        <f t="shared" si="39"/>
        <v>75.057446808510548</v>
      </c>
    </row>
    <row r="233" spans="2:10" ht="15.75" customHeight="1" x14ac:dyDescent="0.3">
      <c r="B233" s="92">
        <v>41</v>
      </c>
      <c r="C233" s="53">
        <v>49034</v>
      </c>
      <c r="D233" s="92" t="s">
        <v>558</v>
      </c>
      <c r="E233" s="45">
        <f t="shared" si="36"/>
        <v>6.823404255319149</v>
      </c>
      <c r="F233" s="45">
        <f t="shared" si="37"/>
        <v>1.4250633051588442</v>
      </c>
      <c r="G233" s="45">
        <f t="shared" si="38"/>
        <v>8.2484675604779927</v>
      </c>
      <c r="H233" s="45">
        <f t="shared" si="40"/>
        <v>602.4659574468086</v>
      </c>
      <c r="I233" s="45">
        <f t="shared" si="41"/>
        <v>263.27048312445339</v>
      </c>
      <c r="J233" s="45">
        <f t="shared" si="39"/>
        <v>68.234042553191401</v>
      </c>
    </row>
    <row r="234" spans="2:10" ht="15.75" customHeight="1" x14ac:dyDescent="0.3">
      <c r="B234" s="95">
        <v>42</v>
      </c>
      <c r="C234" s="67">
        <v>49125</v>
      </c>
      <c r="D234" s="95" t="s">
        <v>559</v>
      </c>
      <c r="E234" s="60">
        <f t="shared" si="36"/>
        <v>6.823404255319149</v>
      </c>
      <c r="F234" s="60">
        <f t="shared" si="37"/>
        <v>1.3099066744389376</v>
      </c>
      <c r="G234" s="60">
        <f t="shared" si="38"/>
        <v>8.1333109297580872</v>
      </c>
      <c r="H234" s="60">
        <f t="shared" si="40"/>
        <v>609.28936170212774</v>
      </c>
      <c r="I234" s="60">
        <f t="shared" si="41"/>
        <v>264.58038979889233</v>
      </c>
      <c r="J234" s="60">
        <f t="shared" si="39"/>
        <v>61.410638297872254</v>
      </c>
    </row>
    <row r="235" spans="2:10" ht="15.75" customHeight="1" x14ac:dyDescent="0.3">
      <c r="B235" s="92">
        <v>43</v>
      </c>
      <c r="C235" s="53">
        <v>49217</v>
      </c>
      <c r="D235" s="92" t="s">
        <v>560</v>
      </c>
      <c r="E235" s="45">
        <f t="shared" si="36"/>
        <v>6.823404255319149</v>
      </c>
      <c r="F235" s="45">
        <f t="shared" si="37"/>
        <v>1.191871127951033</v>
      </c>
      <c r="G235" s="45">
        <f t="shared" si="38"/>
        <v>8.0152753832701826</v>
      </c>
      <c r="H235" s="45">
        <f t="shared" si="40"/>
        <v>616.11276595744687</v>
      </c>
      <c r="I235" s="45">
        <f t="shared" si="41"/>
        <v>265.77226092684339</v>
      </c>
      <c r="J235" s="45">
        <f t="shared" si="39"/>
        <v>54.587234042553106</v>
      </c>
    </row>
    <row r="236" spans="2:10" ht="15.75" customHeight="1" x14ac:dyDescent="0.3">
      <c r="B236" s="95">
        <v>44</v>
      </c>
      <c r="C236" s="67">
        <v>49309</v>
      </c>
      <c r="D236" s="95" t="s">
        <v>561</v>
      </c>
      <c r="E236" s="60">
        <f t="shared" si="36"/>
        <v>6.823404255319149</v>
      </c>
      <c r="F236" s="60">
        <f t="shared" si="37"/>
        <v>1.0594410026231402</v>
      </c>
      <c r="G236" s="60">
        <f t="shared" si="38"/>
        <v>7.8828452579422894</v>
      </c>
      <c r="H236" s="60">
        <f t="shared" si="40"/>
        <v>622.936170212766</v>
      </c>
      <c r="I236" s="60">
        <f t="shared" si="41"/>
        <v>266.83170192946653</v>
      </c>
      <c r="J236" s="60">
        <f t="shared" si="39"/>
        <v>47.763829787233959</v>
      </c>
    </row>
    <row r="237" spans="2:10" ht="15.75" customHeight="1" x14ac:dyDescent="0.3">
      <c r="B237" s="92">
        <v>45</v>
      </c>
      <c r="C237" s="53">
        <v>49399</v>
      </c>
      <c r="D237" s="92" t="s">
        <v>562</v>
      </c>
      <c r="E237" s="45">
        <f t="shared" si="36"/>
        <v>6.823404255319149</v>
      </c>
      <c r="F237" s="45">
        <f t="shared" si="37"/>
        <v>0.90685846691926397</v>
      </c>
      <c r="G237" s="45">
        <f t="shared" si="38"/>
        <v>7.7302627222384128</v>
      </c>
      <c r="H237" s="45">
        <f t="shared" si="40"/>
        <v>629.75957446808513</v>
      </c>
      <c r="I237" s="45">
        <f t="shared" si="41"/>
        <v>267.73856039638582</v>
      </c>
      <c r="J237" s="45">
        <f t="shared" si="39"/>
        <v>40.940425531914812</v>
      </c>
    </row>
    <row r="238" spans="2:10" ht="15.75" customHeight="1" x14ac:dyDescent="0.3">
      <c r="B238" s="95">
        <v>46</v>
      </c>
      <c r="C238" s="67">
        <v>49490</v>
      </c>
      <c r="D238" s="95" t="s">
        <v>563</v>
      </c>
      <c r="E238" s="60">
        <f t="shared" si="36"/>
        <v>6.823404255319149</v>
      </c>
      <c r="F238" s="60">
        <f t="shared" si="37"/>
        <v>0.78594400466336189</v>
      </c>
      <c r="G238" s="60">
        <f t="shared" si="38"/>
        <v>7.6093482599825109</v>
      </c>
      <c r="H238" s="60">
        <f t="shared" si="40"/>
        <v>636.58297872340427</v>
      </c>
      <c r="I238" s="60">
        <f t="shared" si="41"/>
        <v>268.52450440104917</v>
      </c>
      <c r="J238" s="60">
        <f t="shared" si="39"/>
        <v>34.117021276595665</v>
      </c>
    </row>
    <row r="239" spans="2:10" ht="15.75" customHeight="1" x14ac:dyDescent="0.3">
      <c r="B239" s="92">
        <v>47</v>
      </c>
      <c r="C239" s="53">
        <v>49582</v>
      </c>
      <c r="D239" s="92" t="s">
        <v>564</v>
      </c>
      <c r="E239" s="45">
        <f t="shared" si="36"/>
        <v>6.823404255319149</v>
      </c>
      <c r="F239" s="45">
        <f t="shared" si="37"/>
        <v>0.66215062663946211</v>
      </c>
      <c r="G239" s="45">
        <f t="shared" si="38"/>
        <v>7.4855548819586115</v>
      </c>
      <c r="H239" s="45">
        <f t="shared" si="40"/>
        <v>643.4063829787234</v>
      </c>
      <c r="I239" s="45">
        <f t="shared" si="41"/>
        <v>269.18665502768863</v>
      </c>
      <c r="J239" s="45">
        <f t="shared" si="39"/>
        <v>27.293617021276518</v>
      </c>
    </row>
    <row r="240" spans="2:10" ht="15.75" customHeight="1" x14ac:dyDescent="0.3">
      <c r="B240" s="95">
        <v>48</v>
      </c>
      <c r="C240" s="67">
        <v>49674</v>
      </c>
      <c r="D240" s="95" t="s">
        <v>565</v>
      </c>
      <c r="E240" s="60">
        <f t="shared" si="36"/>
        <v>6.823404255319149</v>
      </c>
      <c r="F240" s="60">
        <f t="shared" si="37"/>
        <v>0.52972050131156945</v>
      </c>
      <c r="G240" s="60">
        <f t="shared" si="38"/>
        <v>7.3531247566307183</v>
      </c>
      <c r="H240" s="60">
        <f t="shared" si="40"/>
        <v>650.22978723404253</v>
      </c>
      <c r="I240" s="60">
        <f t="shared" si="41"/>
        <v>269.71637552900017</v>
      </c>
      <c r="J240" s="60">
        <f t="shared" si="39"/>
        <v>20.47021276595737</v>
      </c>
    </row>
    <row r="241" spans="2:10" ht="15.75" customHeight="1" x14ac:dyDescent="0.3">
      <c r="B241" s="92">
        <v>49</v>
      </c>
      <c r="C241" s="53">
        <v>49765</v>
      </c>
      <c r="D241" s="92" t="s">
        <v>566</v>
      </c>
      <c r="E241" s="45">
        <f t="shared" si="36"/>
        <v>6.823404255319149</v>
      </c>
      <c r="F241" s="45">
        <f t="shared" si="37"/>
        <v>0.39297200233168028</v>
      </c>
      <c r="G241" s="45">
        <f t="shared" si="38"/>
        <v>7.216376257650829</v>
      </c>
      <c r="H241" s="45">
        <f t="shared" si="40"/>
        <v>657.05319148936167</v>
      </c>
      <c r="I241" s="45">
        <f t="shared" si="41"/>
        <v>270.10934753133188</v>
      </c>
      <c r="J241" s="45">
        <f t="shared" si="39"/>
        <v>13.646808510638222</v>
      </c>
    </row>
    <row r="242" spans="2:10" ht="15.75" customHeight="1" x14ac:dyDescent="0.3">
      <c r="B242" s="95">
        <v>50</v>
      </c>
      <c r="C242" s="67">
        <v>49856</v>
      </c>
      <c r="D242" s="95" t="s">
        <v>567</v>
      </c>
      <c r="E242" s="60">
        <f t="shared" si="36"/>
        <v>6.823404255319149</v>
      </c>
      <c r="F242" s="60">
        <f t="shared" si="37"/>
        <v>0.2619813348877863</v>
      </c>
      <c r="G242" s="60">
        <f t="shared" si="38"/>
        <v>7.0853855902069354</v>
      </c>
      <c r="H242" s="60">
        <f t="shared" si="40"/>
        <v>663.8765957446808</v>
      </c>
      <c r="I242" s="60">
        <f t="shared" si="41"/>
        <v>270.37132886621964</v>
      </c>
      <c r="J242" s="60">
        <f t="shared" si="39"/>
        <v>6.8234042553190726</v>
      </c>
    </row>
    <row r="243" spans="2:10" ht="15.75" customHeight="1" x14ac:dyDescent="0.3">
      <c r="B243" s="92">
        <v>51</v>
      </c>
      <c r="C243" s="53">
        <v>49948</v>
      </c>
      <c r="D243" s="92" t="s">
        <v>568</v>
      </c>
      <c r="E243" s="45">
        <f t="shared" si="36"/>
        <v>6.8234042553190726</v>
      </c>
      <c r="F243" s="45">
        <f t="shared" si="37"/>
        <v>0.13243012532789128</v>
      </c>
      <c r="G243" s="45">
        <f t="shared" si="38"/>
        <v>6.955834380646964</v>
      </c>
      <c r="H243" s="45">
        <f t="shared" si="40"/>
        <v>670.69999999999982</v>
      </c>
      <c r="I243" s="45">
        <f t="shared" si="41"/>
        <v>270.50375899154756</v>
      </c>
      <c r="J243" s="45">
        <f t="shared" si="39"/>
        <v>0</v>
      </c>
    </row>
    <row r="244" spans="2:10" ht="15.75" customHeight="1" x14ac:dyDescent="0.3">
      <c r="B244" s="95">
        <v>52</v>
      </c>
      <c r="C244" s="67">
        <v>50040</v>
      </c>
      <c r="D244" s="95" t="s">
        <v>569</v>
      </c>
      <c r="E244" s="60">
        <f t="shared" si="36"/>
        <v>0</v>
      </c>
      <c r="F244" s="60">
        <f t="shared" si="37"/>
        <v>0</v>
      </c>
      <c r="G244" s="60">
        <f t="shared" si="38"/>
        <v>0</v>
      </c>
      <c r="H244" s="60">
        <f t="shared" si="40"/>
        <v>670.69999999999982</v>
      </c>
      <c r="I244" s="60">
        <f t="shared" si="41"/>
        <v>270.50375899154756</v>
      </c>
      <c r="J244" s="60">
        <f t="shared" si="39"/>
        <v>0</v>
      </c>
    </row>
    <row r="245" spans="2:10" ht="15.75" customHeight="1" x14ac:dyDescent="0.3">
      <c r="B245" s="92">
        <v>53</v>
      </c>
      <c r="C245" s="53">
        <v>50130</v>
      </c>
      <c r="D245" s="92" t="s">
        <v>570</v>
      </c>
      <c r="E245" s="45">
        <f t="shared" si="36"/>
        <v>0</v>
      </c>
      <c r="F245" s="45">
        <f t="shared" si="37"/>
        <v>0</v>
      </c>
      <c r="G245" s="45">
        <f t="shared" si="38"/>
        <v>0</v>
      </c>
      <c r="H245" s="45">
        <f t="shared" si="40"/>
        <v>670.69999999999982</v>
      </c>
      <c r="I245" s="45">
        <f t="shared" si="41"/>
        <v>270.50375899154756</v>
      </c>
      <c r="J245" s="45">
        <f t="shared" si="39"/>
        <v>0</v>
      </c>
    </row>
    <row r="246" spans="2:10" ht="21.75" customHeight="1" x14ac:dyDescent="0.3">
      <c r="B246" s="304" t="s">
        <v>583</v>
      </c>
      <c r="C246" s="304"/>
      <c r="D246" s="304"/>
      <c r="E246" s="72">
        <f>SUM(E193:E245)</f>
        <v>670.69999999999982</v>
      </c>
      <c r="F246" s="72">
        <f>SUM(F193:F245)</f>
        <v>270.50375899154756</v>
      </c>
      <c r="G246" s="72">
        <f>SUM(G193:G245)</f>
        <v>941.20375899154726</v>
      </c>
      <c r="H246" s="71"/>
      <c r="I246" s="71"/>
      <c r="J246" s="71"/>
    </row>
  </sheetData>
  <mergeCells count="13">
    <mergeCell ref="B188:D188"/>
    <mergeCell ref="B191:L191"/>
    <mergeCell ref="B246:D246"/>
    <mergeCell ref="B67:L67"/>
    <mergeCell ref="B125:D125"/>
    <mergeCell ref="B126:D126"/>
    <mergeCell ref="B129:L129"/>
    <mergeCell ref="B187:D187"/>
    <mergeCell ref="B2:L2"/>
    <mergeCell ref="B3:L3"/>
    <mergeCell ref="B5:L5"/>
    <mergeCell ref="B63:D63"/>
    <mergeCell ref="B64:D64"/>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DC3E6"/>
  </sheetPr>
  <dimension ref="B2:N52"/>
  <sheetViews>
    <sheetView showGridLines="0" zoomScaleNormal="100" workbookViewId="0">
      <pane xSplit="4" ySplit="5" topLeftCell="E6" activePane="bottomRight" state="frozen"/>
      <selection pane="topRight" activeCell="E1" sqref="E1"/>
      <selection pane="bottomLeft" activeCell="A6" sqref="A6"/>
      <selection pane="bottomRight"/>
    </sheetView>
  </sheetViews>
  <sheetFormatPr defaultColWidth="8.6640625" defaultRowHeight="14.4" x14ac:dyDescent="0.3"/>
  <cols>
    <col min="1" max="1" width="3" customWidth="1"/>
    <col min="2" max="2" width="4" customWidth="1"/>
    <col min="3" max="3" width="16" customWidth="1"/>
    <col min="4" max="4" width="28" customWidth="1"/>
    <col min="5" max="12" width="14" customWidth="1"/>
    <col min="13" max="13" width="28" customWidth="1"/>
  </cols>
  <sheetData>
    <row r="2" spans="2:14" ht="36" customHeight="1" x14ac:dyDescent="0.3">
      <c r="B2" s="300" t="s">
        <v>584</v>
      </c>
      <c r="C2" s="300"/>
      <c r="D2" s="300"/>
      <c r="E2" s="300"/>
      <c r="F2" s="300"/>
      <c r="G2" s="300"/>
      <c r="H2" s="300"/>
      <c r="I2" s="300"/>
      <c r="J2" s="300"/>
      <c r="K2" s="300"/>
      <c r="L2" s="300"/>
      <c r="M2" s="300"/>
      <c r="N2" s="2"/>
    </row>
    <row r="3" spans="2:14" ht="27.75" customHeight="1" x14ac:dyDescent="0.3">
      <c r="B3" s="311" t="s">
        <v>585</v>
      </c>
      <c r="C3" s="311"/>
      <c r="D3" s="311"/>
      <c r="E3" s="311"/>
      <c r="F3" s="311"/>
      <c r="G3" s="311"/>
      <c r="H3" s="311"/>
      <c r="I3" s="311"/>
      <c r="J3" s="311"/>
      <c r="K3" s="311"/>
      <c r="L3" s="311"/>
      <c r="M3" s="311"/>
      <c r="N3" s="1"/>
    </row>
    <row r="4" spans="2:14" s="126" customFormat="1" ht="7.95" customHeight="1" x14ac:dyDescent="0.3"/>
    <row r="5" spans="2:14" ht="39.75" customHeight="1" x14ac:dyDescent="0.3">
      <c r="B5" s="9" t="s">
        <v>422</v>
      </c>
      <c r="C5" s="9" t="s">
        <v>217</v>
      </c>
      <c r="D5" s="9" t="s">
        <v>218</v>
      </c>
      <c r="E5" s="9" t="s">
        <v>219</v>
      </c>
      <c r="F5" s="9" t="s">
        <v>471</v>
      </c>
      <c r="G5" s="9" t="s">
        <v>241</v>
      </c>
      <c r="H5" s="9" t="s">
        <v>586</v>
      </c>
      <c r="I5" s="9" t="s">
        <v>587</v>
      </c>
      <c r="J5" s="9" t="s">
        <v>588</v>
      </c>
      <c r="K5" s="9" t="s">
        <v>589</v>
      </c>
      <c r="L5" s="9" t="s">
        <v>590</v>
      </c>
      <c r="M5" s="9" t="s">
        <v>245</v>
      </c>
      <c r="N5" s="9" t="s">
        <v>259</v>
      </c>
    </row>
    <row r="6" spans="2:14" ht="27.75" customHeight="1" x14ac:dyDescent="0.3">
      <c r="B6" s="99">
        <v>1</v>
      </c>
      <c r="C6" s="83" t="str">
        <f>'Facility Master'!C5</f>
        <v>RBL Bank</v>
      </c>
      <c r="D6" s="84" t="str">
        <f>IFERROR('Facility Master'!D5,0)</f>
        <v>Letter of Credit - Main Limit</v>
      </c>
      <c r="E6" s="36" t="str">
        <f>IFERROR('Facility Master'!E5,0)</f>
        <v>NFB</v>
      </c>
      <c r="F6" s="76">
        <f>IFERROR('Facility Master'!J5,0)</f>
        <v>100</v>
      </c>
      <c r="G6" s="76">
        <f>IFERROR('Facility Master'!L5,0)</f>
        <v>100</v>
      </c>
      <c r="H6" s="85">
        <f>IFERROR('Facility Master'!Q5,0)</f>
        <v>4.4999999999999997E-3</v>
      </c>
      <c r="I6" s="77">
        <f t="shared" ref="I6:I39" si="0">IFERROR(IF(OR(E6="NFB",E6="NFB-FDbacked",E6="Hedge"),F6,G6),0)</f>
        <v>100</v>
      </c>
      <c r="J6" s="100">
        <f t="shared" ref="J6:J39" si="1">IFERROR(I6*H6,0)</f>
        <v>0.44999999999999996</v>
      </c>
      <c r="K6" s="36" t="str">
        <f>'Facility Master'!R5</f>
        <v>Fixed</v>
      </c>
      <c r="L6" s="84" t="str">
        <f>'Facility Master'!O5</f>
        <v>Fixed commission</v>
      </c>
      <c r="M6" s="85" t="str">
        <f>'Facility Master'!P5</f>
        <v>-</v>
      </c>
    </row>
    <row r="7" spans="2:14" ht="27.75" customHeight="1" x14ac:dyDescent="0.3">
      <c r="B7" s="101">
        <v>2</v>
      </c>
      <c r="C7" s="83" t="str">
        <f>'Facility Master'!C6</f>
        <v>RBL Bank</v>
      </c>
      <c r="D7" s="84" t="str">
        <f>IFERROR('Facility Master'!D6,0)</f>
        <v>Bank Guarantee</v>
      </c>
      <c r="E7" s="36" t="str">
        <f>IFERROR('Facility Master'!E6,0)</f>
        <v>NFB</v>
      </c>
      <c r="F7" s="76">
        <f>IFERROR('Facility Master'!J6,0)</f>
        <v>25</v>
      </c>
      <c r="G7" s="76">
        <f>IFERROR('Facility Master'!L6,0)</f>
        <v>25</v>
      </c>
      <c r="H7" s="85">
        <f>IFERROR('Facility Master'!Q6,0)</f>
        <v>5.0000000000000001E-3</v>
      </c>
      <c r="I7" s="77">
        <f t="shared" si="0"/>
        <v>25</v>
      </c>
      <c r="J7" s="100">
        <f t="shared" si="1"/>
        <v>0.125</v>
      </c>
      <c r="K7" s="36" t="str">
        <f>'Facility Master'!R6</f>
        <v>Fixed</v>
      </c>
      <c r="L7" s="84" t="str">
        <f>'Facility Master'!O6</f>
        <v>Fixed commission</v>
      </c>
      <c r="M7" s="85" t="str">
        <f>'Facility Master'!P6</f>
        <v>-</v>
      </c>
    </row>
    <row r="8" spans="2:14" ht="27.75" customHeight="1" x14ac:dyDescent="0.3">
      <c r="B8" s="99">
        <v>3</v>
      </c>
      <c r="C8" s="83" t="str">
        <f>'Facility Master'!C7</f>
        <v>RBL Bank</v>
      </c>
      <c r="D8" s="84" t="str">
        <f>IFERROR('Facility Master'!D7,0)</f>
        <v>Invoice Discounting (PID)</v>
      </c>
      <c r="E8" s="36" t="str">
        <f>IFERROR('Facility Master'!E7,0)</f>
        <v>FB</v>
      </c>
      <c r="F8" s="76">
        <f>IFERROR('Facility Master'!J7,0)</f>
        <v>100</v>
      </c>
      <c r="G8" s="76">
        <f>IFERROR('Facility Master'!L7,0)</f>
        <v>100</v>
      </c>
      <c r="H8" s="85">
        <f>IFERROR('Facility Master'!Q7,0)</f>
        <v>0</v>
      </c>
      <c r="I8" s="77">
        <f t="shared" si="0"/>
        <v>100</v>
      </c>
      <c r="J8" s="100">
        <f t="shared" si="1"/>
        <v>0</v>
      </c>
      <c r="K8" s="36" t="str">
        <f>'Facility Master'!R7</f>
        <v>TBD</v>
      </c>
      <c r="L8" s="84" t="str">
        <f>'Facility Master'!O7</f>
        <v>To be decided</v>
      </c>
      <c r="M8" s="85" t="str">
        <f>'Facility Master'!P7</f>
        <v>-</v>
      </c>
    </row>
    <row r="9" spans="2:14" ht="27.75" customHeight="1" x14ac:dyDescent="0.3">
      <c r="B9" s="101">
        <v>4</v>
      </c>
      <c r="C9" s="83" t="str">
        <f>'Facility Master'!C8</f>
        <v>RBL Bank</v>
      </c>
      <c r="D9" s="84" t="str">
        <f>IFERROR('Facility Master'!D8,0)</f>
        <v>SBLC</v>
      </c>
      <c r="E9" s="36" t="str">
        <f>IFERROR('Facility Master'!E8,0)</f>
        <v>NFB</v>
      </c>
      <c r="F9" s="76">
        <f>IFERROR('Facility Master'!J8,0)</f>
        <v>100</v>
      </c>
      <c r="G9" s="76">
        <f>IFERROR('Facility Master'!L8,0)</f>
        <v>100</v>
      </c>
      <c r="H9" s="85">
        <f>IFERROR('Facility Master'!Q8,0)</f>
        <v>5.0000000000000001E-3</v>
      </c>
      <c r="I9" s="77">
        <f t="shared" si="0"/>
        <v>100</v>
      </c>
      <c r="J9" s="100">
        <f t="shared" si="1"/>
        <v>0.5</v>
      </c>
      <c r="K9" s="36" t="str">
        <f>'Facility Master'!R8</f>
        <v>TBD</v>
      </c>
      <c r="L9" s="84" t="str">
        <f>'Facility Master'!O8</f>
        <v>To be decided</v>
      </c>
      <c r="M9" s="85" t="str">
        <f>'Facility Master'!P8</f>
        <v>-</v>
      </c>
    </row>
    <row r="10" spans="2:14" ht="27.75" customHeight="1" x14ac:dyDescent="0.3">
      <c r="B10" s="99">
        <v>5</v>
      </c>
      <c r="C10" s="83" t="str">
        <f>'Facility Master'!C9</f>
        <v>RBL Bank</v>
      </c>
      <c r="D10" s="84" t="str">
        <f>IFERROR('Facility Master'!D9,0)</f>
        <v>Pre-Acceptance LCBD</v>
      </c>
      <c r="E10" s="36" t="str">
        <f>IFERROR('Facility Master'!E9,0)</f>
        <v>FB</v>
      </c>
      <c r="F10" s="76">
        <f>IFERROR('Facility Master'!J9,0)</f>
        <v>100</v>
      </c>
      <c r="G10" s="76">
        <f>IFERROR('Facility Master'!L9,0)</f>
        <v>100</v>
      </c>
      <c r="H10" s="85">
        <f>IFERROR('Facility Master'!Q9,0)</f>
        <v>0</v>
      </c>
      <c r="I10" s="77">
        <f t="shared" si="0"/>
        <v>100</v>
      </c>
      <c r="J10" s="100">
        <f t="shared" si="1"/>
        <v>0</v>
      </c>
      <c r="K10" s="36" t="str">
        <f>'Facility Master'!R9</f>
        <v>TBD</v>
      </c>
      <c r="L10" s="84" t="str">
        <f>'Facility Master'!O9</f>
        <v>To be decided</v>
      </c>
      <c r="M10" s="85" t="str">
        <f>'Facility Master'!P9</f>
        <v>-</v>
      </c>
    </row>
    <row r="11" spans="2:14" ht="27.75" customHeight="1" x14ac:dyDescent="0.3">
      <c r="B11" s="101">
        <v>6</v>
      </c>
      <c r="C11" s="83" t="str">
        <f>'Facility Master'!C10</f>
        <v>RBL Bank</v>
      </c>
      <c r="D11" s="84" t="str">
        <f>IFERROR('Facility Master'!D10,0)</f>
        <v>Cash Credit</v>
      </c>
      <c r="E11" s="36" t="str">
        <f>IFERROR('Facility Master'!E10,0)</f>
        <v>FB</v>
      </c>
      <c r="F11" s="76">
        <f>IFERROR('Facility Master'!J10,0)</f>
        <v>100</v>
      </c>
      <c r="G11" s="76">
        <f>IFERROR('Facility Master'!L10,0)</f>
        <v>100</v>
      </c>
      <c r="H11" s="85">
        <f>IFERROR('Facility Master'!Q10,0)</f>
        <v>9.0499999999999997E-2</v>
      </c>
      <c r="I11" s="77">
        <f t="shared" si="0"/>
        <v>100</v>
      </c>
      <c r="J11" s="100">
        <f t="shared" si="1"/>
        <v>9.0499999999999989</v>
      </c>
      <c r="K11" s="36" t="str">
        <f>'Facility Master'!R10</f>
        <v>Floating</v>
      </c>
      <c r="L11" s="84" t="str">
        <f>'Facility Master'!O10</f>
        <v>1Y MCLR (RBL Bank)</v>
      </c>
      <c r="M11" s="85">
        <f>'Facility Master'!P10</f>
        <v>5.0000000000000001E-4</v>
      </c>
    </row>
    <row r="12" spans="2:14" ht="27.75" customHeight="1" x14ac:dyDescent="0.3">
      <c r="B12" s="99">
        <v>7</v>
      </c>
      <c r="C12" s="83" t="str">
        <f>'Facility Master'!C11</f>
        <v>RBL Bank</v>
      </c>
      <c r="D12" s="84" t="str">
        <f>IFERROR('Facility Master'!D11,0)</f>
        <v>Working Capital Demand Loan (WCDL)</v>
      </c>
      <c r="E12" s="36" t="str">
        <f>IFERROR('Facility Master'!E11,0)</f>
        <v>FB</v>
      </c>
      <c r="F12" s="76">
        <f>IFERROR('Facility Master'!J11,0)</f>
        <v>100</v>
      </c>
      <c r="G12" s="76">
        <f>IFERROR('Facility Master'!L11,0)</f>
        <v>100</v>
      </c>
      <c r="H12" s="85">
        <f>IFERROR('Facility Master'!Q11,0)</f>
        <v>0</v>
      </c>
      <c r="I12" s="77">
        <f t="shared" si="0"/>
        <v>100</v>
      </c>
      <c r="J12" s="100">
        <f t="shared" si="1"/>
        <v>0</v>
      </c>
      <c r="K12" s="36" t="str">
        <f>'Facility Master'!R11</f>
        <v>TBD</v>
      </c>
      <c r="L12" s="84" t="str">
        <f>'Facility Master'!O11</f>
        <v>To be decided</v>
      </c>
      <c r="M12" s="85" t="str">
        <f>'Facility Master'!P11</f>
        <v>-</v>
      </c>
    </row>
    <row r="13" spans="2:14" ht="27.75" customHeight="1" x14ac:dyDescent="0.3">
      <c r="B13" s="101">
        <v>8</v>
      </c>
      <c r="C13" s="83" t="str">
        <f>'Facility Master'!C12</f>
        <v>RBL Bank</v>
      </c>
      <c r="D13" s="84" t="str">
        <f>IFERROR('Facility Master'!D12,0)</f>
        <v>Loan Equivalent Risk (LER)</v>
      </c>
      <c r="E13" s="36" t="str">
        <f>IFERROR('Facility Master'!E12,0)</f>
        <v>Hedge</v>
      </c>
      <c r="F13" s="76">
        <f>IFERROR('Facility Master'!J12,0)</f>
        <v>20</v>
      </c>
      <c r="G13" s="76">
        <f>IFERROR('Facility Master'!L12,0)</f>
        <v>20</v>
      </c>
      <c r="H13" s="85">
        <f>IFERROR('Facility Master'!Q12,0)</f>
        <v>0</v>
      </c>
      <c r="I13" s="77">
        <f t="shared" si="0"/>
        <v>20</v>
      </c>
      <c r="J13" s="100">
        <f t="shared" si="1"/>
        <v>0</v>
      </c>
      <c r="K13" s="36" t="str">
        <f>'Facility Master'!R12</f>
        <v>Fixed</v>
      </c>
      <c r="L13" s="84" t="str">
        <f>'Facility Master'!O12</f>
        <v>Bank treasury</v>
      </c>
      <c r="M13" s="85" t="str">
        <f>'Facility Master'!P12</f>
        <v>-</v>
      </c>
    </row>
    <row r="14" spans="2:14" ht="27.75" customHeight="1" x14ac:dyDescent="0.3">
      <c r="B14" s="99">
        <v>9</v>
      </c>
      <c r="C14" s="83" t="str">
        <f>'Facility Master'!C13</f>
        <v>RBL Bank</v>
      </c>
      <c r="D14" s="84" t="str">
        <f>IFERROR('Facility Master'!D13,0)</f>
        <v>Term Loan - Main Limit</v>
      </c>
      <c r="E14" s="36" t="str">
        <f>IFERROR('Facility Master'!E13,0)</f>
        <v>FB-Term</v>
      </c>
      <c r="F14" s="76">
        <f>IFERROR('Facility Master'!J13,0)</f>
        <v>200</v>
      </c>
      <c r="G14" s="76">
        <f>IFERROR('Facility Master'!L13,0)</f>
        <v>200</v>
      </c>
      <c r="H14" s="85">
        <f>IFERROR('Facility Master'!Q13,0)</f>
        <v>9.7500000000000003E-2</v>
      </c>
      <c r="I14" s="77">
        <f t="shared" si="0"/>
        <v>200</v>
      </c>
      <c r="J14" s="100">
        <f t="shared" si="1"/>
        <v>19.5</v>
      </c>
      <c r="K14" s="36" t="str">
        <f>'Facility Master'!R13</f>
        <v>Floating (Indicative)</v>
      </c>
      <c r="L14" s="84" t="str">
        <f>'Facility Master'!O13</f>
        <v>1Y MCLR (RBL Bank)</v>
      </c>
      <c r="M14" s="85">
        <f>'Facility Master'!P13</f>
        <v>7.4999999999999997E-3</v>
      </c>
    </row>
    <row r="15" spans="2:14" ht="27.75" customHeight="1" x14ac:dyDescent="0.3">
      <c r="B15" s="101">
        <v>10</v>
      </c>
      <c r="C15" s="83" t="str">
        <f>'Facility Master'!C14</f>
        <v>RBL Bank</v>
      </c>
      <c r="D15" s="84" t="str">
        <f>IFERROR('Facility Master'!D14,0)</f>
        <v>SBLC for Buyer's Credit (GIFT City)</v>
      </c>
      <c r="E15" s="36" t="str">
        <f>IFERROR('Facility Master'!E14,0)</f>
        <v>NFB</v>
      </c>
      <c r="F15" s="76">
        <f>IFERROR('Facility Master'!J14,0)</f>
        <v>190</v>
      </c>
      <c r="G15" s="76">
        <f>IFERROR('Facility Master'!L14,0)</f>
        <v>190</v>
      </c>
      <c r="H15" s="85">
        <f>IFERROR('Facility Master'!Q14,0)</f>
        <v>5.0000000000000001E-3</v>
      </c>
      <c r="I15" s="77">
        <f t="shared" si="0"/>
        <v>190</v>
      </c>
      <c r="J15" s="100">
        <f t="shared" si="1"/>
        <v>0.95000000000000007</v>
      </c>
      <c r="K15" s="36" t="str">
        <f>'Facility Master'!R14</f>
        <v>Fixed</v>
      </c>
      <c r="L15" s="84" t="str">
        <f>'Facility Master'!O14</f>
        <v>Fixed commission</v>
      </c>
      <c r="M15" s="85" t="str">
        <f>'Facility Master'!P14</f>
        <v>-</v>
      </c>
    </row>
    <row r="16" spans="2:14" ht="27.75" customHeight="1" x14ac:dyDescent="0.3">
      <c r="B16" s="99">
        <v>11</v>
      </c>
      <c r="C16" s="83" t="str">
        <f>'Facility Master'!C15</f>
        <v>RBL Bank</v>
      </c>
      <c r="D16" s="84" t="str">
        <f>IFERROR('Facility Master'!D15,0)</f>
        <v>Capex LC</v>
      </c>
      <c r="E16" s="36" t="str">
        <f>IFERROR('Facility Master'!E15,0)</f>
        <v>NFB</v>
      </c>
      <c r="F16" s="76">
        <f>IFERROR('Facility Master'!J15,0)</f>
        <v>25</v>
      </c>
      <c r="G16" s="76">
        <f>IFERROR('Facility Master'!L15,0)</f>
        <v>25</v>
      </c>
      <c r="H16" s="85">
        <f>IFERROR('Facility Master'!Q15,0)</f>
        <v>5.0000000000000001E-3</v>
      </c>
      <c r="I16" s="77">
        <f t="shared" si="0"/>
        <v>25</v>
      </c>
      <c r="J16" s="100">
        <f t="shared" si="1"/>
        <v>0.125</v>
      </c>
      <c r="K16" s="36" t="str">
        <f>'Facility Master'!R15</f>
        <v>Fixed</v>
      </c>
      <c r="L16" s="84" t="str">
        <f>'Facility Master'!O15</f>
        <v>Fixed commission</v>
      </c>
      <c r="M16" s="85" t="str">
        <f>'Facility Master'!P15</f>
        <v>-</v>
      </c>
    </row>
    <row r="17" spans="2:14" ht="27.75" customHeight="1" x14ac:dyDescent="0.3">
      <c r="B17" s="101">
        <v>12</v>
      </c>
      <c r="C17" s="83" t="str">
        <f>'Facility Master'!C16</f>
        <v>RBL Bank</v>
      </c>
      <c r="D17" s="84" t="str">
        <f>IFERROR('Facility Master'!D16,0)</f>
        <v>Overdraft backed by 100% FD (FDOD)</v>
      </c>
      <c r="E17" s="36" t="str">
        <f>IFERROR('Facility Master'!E16,0)</f>
        <v>FB-FDbacked</v>
      </c>
      <c r="F17" s="76">
        <f>IFERROR('Facility Master'!J16,0)</f>
        <v>100</v>
      </c>
      <c r="G17" s="76">
        <f>IFERROR('Facility Master'!L16,0)</f>
        <v>100</v>
      </c>
      <c r="H17" s="85">
        <f>IFERROR('Facility Master'!Q16,0)</f>
        <v>0</v>
      </c>
      <c r="I17" s="77">
        <f t="shared" si="0"/>
        <v>100</v>
      </c>
      <c r="J17" s="100">
        <f t="shared" si="1"/>
        <v>0</v>
      </c>
      <c r="K17" s="36" t="str">
        <f>'Facility Master'!R16</f>
        <v>Floating</v>
      </c>
      <c r="L17" s="84" t="str">
        <f>'Facility Master'!O16</f>
        <v>FD rate</v>
      </c>
      <c r="M17" s="85">
        <f>'Facility Master'!P16</f>
        <v>2.5000000000000001E-3</v>
      </c>
    </row>
    <row r="18" spans="2:14" ht="27.75" customHeight="1" x14ac:dyDescent="0.3">
      <c r="B18" s="99">
        <v>13</v>
      </c>
      <c r="C18" s="83" t="str">
        <f>'Facility Master'!C17</f>
        <v>RBL Bank</v>
      </c>
      <c r="D18" s="84" t="str">
        <f>IFERROR('Facility Master'!D17,0)</f>
        <v>LC backed by 100% FD</v>
      </c>
      <c r="E18" s="36" t="str">
        <f>IFERROR('Facility Master'!E17,0)</f>
        <v>NFB-FDbacked</v>
      </c>
      <c r="F18" s="76">
        <f>IFERROR('Facility Master'!J17,0)</f>
        <v>50</v>
      </c>
      <c r="G18" s="76">
        <f>IFERROR('Facility Master'!L17,0)</f>
        <v>50</v>
      </c>
      <c r="H18" s="85">
        <f>IFERROR('Facility Master'!Q17,0)</f>
        <v>0</v>
      </c>
      <c r="I18" s="77">
        <f t="shared" si="0"/>
        <v>50</v>
      </c>
      <c r="J18" s="100">
        <f t="shared" si="1"/>
        <v>0</v>
      </c>
      <c r="K18" s="36" t="str">
        <f>'Facility Master'!R17</f>
        <v>TBD</v>
      </c>
      <c r="L18" s="84" t="str">
        <f>'Facility Master'!O17</f>
        <v>To be decided</v>
      </c>
      <c r="M18" s="85" t="str">
        <f>'Facility Master'!P17</f>
        <v>-</v>
      </c>
    </row>
    <row r="19" spans="2:14" ht="27.75" customHeight="1" x14ac:dyDescent="0.3">
      <c r="B19" s="101">
        <v>14</v>
      </c>
      <c r="C19" s="83" t="str">
        <f>'Facility Master'!C18</f>
        <v>RBL Bank</v>
      </c>
      <c r="D19" s="84" t="str">
        <f>IFERROR('Facility Master'!D18,0)</f>
        <v>Buyer's Credit from GIFT City - WC</v>
      </c>
      <c r="E19" s="36" t="str">
        <f>IFERROR('Facility Master'!E18,0)</f>
        <v>FB-FCY</v>
      </c>
      <c r="F19" s="76">
        <f>IFERROR('Facility Master'!J18,0)</f>
        <v>100</v>
      </c>
      <c r="G19" s="76">
        <f>IFERROR('Facility Master'!L18,0)</f>
        <v>100</v>
      </c>
      <c r="H19" s="85">
        <f>IFERROR('Facility Master'!Q18,0)</f>
        <v>0</v>
      </c>
      <c r="I19" s="77">
        <f t="shared" si="0"/>
        <v>100</v>
      </c>
      <c r="J19" s="100">
        <f t="shared" si="1"/>
        <v>0</v>
      </c>
      <c r="K19" s="36" t="str">
        <f>'Facility Master'!R18</f>
        <v>Floating</v>
      </c>
      <c r="L19" s="84" t="str">
        <f>'Facility Master'!O18</f>
        <v>Term SOFR (USD)</v>
      </c>
      <c r="M19" s="85" t="str">
        <f>'Facility Master'!P18</f>
        <v>-</v>
      </c>
    </row>
    <row r="20" spans="2:14" ht="27.75" customHeight="1" x14ac:dyDescent="0.3">
      <c r="B20" s="99">
        <v>15</v>
      </c>
      <c r="C20" s="83" t="str">
        <f>'Facility Master'!C19</f>
        <v>RBL Bank</v>
      </c>
      <c r="D20" s="84" t="str">
        <f>IFERROR('Facility Master'!D19,0)</f>
        <v>Buyer's Credit from GIFT City - CAPEX</v>
      </c>
      <c r="E20" s="36" t="str">
        <f>IFERROR('Facility Master'!E19,0)</f>
        <v>FB-FCY</v>
      </c>
      <c r="F20" s="76">
        <f>IFERROR('Facility Master'!J19,0)</f>
        <v>172</v>
      </c>
      <c r="G20" s="76">
        <f>IFERROR('Facility Master'!L19,0)</f>
        <v>172</v>
      </c>
      <c r="H20" s="85">
        <f>IFERROR('Facility Master'!Q19,0)</f>
        <v>0</v>
      </c>
      <c r="I20" s="77">
        <f t="shared" si="0"/>
        <v>172</v>
      </c>
      <c r="J20" s="100">
        <f t="shared" si="1"/>
        <v>0</v>
      </c>
      <c r="K20" s="36" t="str">
        <f>'Facility Master'!R19</f>
        <v>Floating</v>
      </c>
      <c r="L20" s="84" t="str">
        <f>'Facility Master'!O19</f>
        <v>Term SOFR (USD)</v>
      </c>
      <c r="M20" s="85" t="str">
        <f>'Facility Master'!P19</f>
        <v>-</v>
      </c>
    </row>
    <row r="21" spans="2:14" ht="27.75" customHeight="1" x14ac:dyDescent="0.3">
      <c r="B21" s="101">
        <v>16</v>
      </c>
      <c r="C21" s="83" t="str">
        <f>'Facility Master'!C20</f>
        <v>YES Bank</v>
      </c>
      <c r="D21" s="84" t="str">
        <f>IFERROR('Facility Master'!D20,0)</f>
        <v>Purchase Invoice Financing</v>
      </c>
      <c r="E21" s="36" t="str">
        <f>IFERROR('Facility Master'!E20,0)</f>
        <v>FB</v>
      </c>
      <c r="F21" s="76">
        <f>IFERROR('Facility Master'!J20,0)</f>
        <v>100</v>
      </c>
      <c r="G21" s="76">
        <f>IFERROR('Facility Master'!L20,0)</f>
        <v>100</v>
      </c>
      <c r="H21" s="85">
        <f>IFERROR('Facility Master'!Q20,0)</f>
        <v>0</v>
      </c>
      <c r="I21" s="77">
        <f t="shared" si="0"/>
        <v>100</v>
      </c>
      <c r="J21" s="100">
        <f t="shared" si="1"/>
        <v>0</v>
      </c>
      <c r="K21" s="36" t="str">
        <f>'Facility Master'!R20</f>
        <v>TBD</v>
      </c>
      <c r="L21" s="84" t="str">
        <f>'Facility Master'!O20</f>
        <v>To be decided</v>
      </c>
      <c r="M21" s="85" t="str">
        <f>'Facility Master'!P20</f>
        <v>-</v>
      </c>
    </row>
    <row r="22" spans="2:14" ht="27.75" customHeight="1" x14ac:dyDescent="0.3">
      <c r="B22" s="99">
        <v>17</v>
      </c>
      <c r="C22" s="83" t="str">
        <f>'Facility Master'!C21</f>
        <v>YES Bank</v>
      </c>
      <c r="D22" s="84" t="str">
        <f>IFERROR('Facility Master'!D21,0)</f>
        <v>Cash Credit</v>
      </c>
      <c r="E22" s="36" t="str">
        <f>IFERROR('Facility Master'!E21,0)</f>
        <v>FB</v>
      </c>
      <c r="F22" s="76">
        <f>IFERROR('Facility Master'!J21,0)</f>
        <v>25</v>
      </c>
      <c r="G22" s="76">
        <f>IFERROR('Facility Master'!L21,0)</f>
        <v>25</v>
      </c>
      <c r="H22" s="85">
        <f>IFERROR('Facility Master'!Q21,0)</f>
        <v>9.0700000000000003E-2</v>
      </c>
      <c r="I22" s="77">
        <f t="shared" si="0"/>
        <v>25</v>
      </c>
      <c r="J22" s="100">
        <f t="shared" si="1"/>
        <v>2.2675000000000001</v>
      </c>
      <c r="K22" s="36" t="str">
        <f>'Facility Master'!R21</f>
        <v>Floating</v>
      </c>
      <c r="L22" s="84" t="str">
        <f>'Facility Master'!O21</f>
        <v>3M MCLR (YBL)</v>
      </c>
      <c r="M22" s="85">
        <f>'Facility Master'!P21</f>
        <v>6.9999999999999999E-4</v>
      </c>
    </row>
    <row r="23" spans="2:14" ht="27.75" customHeight="1" x14ac:dyDescent="0.3">
      <c r="B23" s="101">
        <v>18</v>
      </c>
      <c r="C23" s="83" t="str">
        <f>'Facility Master'!C22</f>
        <v>YES Bank</v>
      </c>
      <c r="D23" s="84" t="str">
        <f>IFERROR('Facility Master'!D22,0)</f>
        <v>Letter of Credit</v>
      </c>
      <c r="E23" s="36" t="str">
        <f>IFERROR('Facility Master'!E22,0)</f>
        <v>NFB</v>
      </c>
      <c r="F23" s="76">
        <f>IFERROR('Facility Master'!J22,0)</f>
        <v>200</v>
      </c>
      <c r="G23" s="76">
        <f>IFERROR('Facility Master'!L22,0)</f>
        <v>200</v>
      </c>
      <c r="H23" s="85">
        <f>IFERROR('Facility Master'!Q22,0)</f>
        <v>0</v>
      </c>
      <c r="I23" s="77">
        <f t="shared" si="0"/>
        <v>200</v>
      </c>
      <c r="J23" s="100">
        <f t="shared" si="1"/>
        <v>0</v>
      </c>
      <c r="K23" s="36" t="str">
        <f>'Facility Master'!R22</f>
        <v>Fixed</v>
      </c>
      <c r="L23" s="84" t="str">
        <f>'Facility Master'!O22</f>
        <v>Fixed commission</v>
      </c>
      <c r="M23" s="85" t="str">
        <f>'Facility Master'!P22</f>
        <v>-</v>
      </c>
    </row>
    <row r="24" spans="2:14" ht="27.75" customHeight="1" x14ac:dyDescent="0.3">
      <c r="B24" s="99">
        <v>19</v>
      </c>
      <c r="C24" s="83" t="str">
        <f>'Facility Master'!C23</f>
        <v>YES Bank</v>
      </c>
      <c r="D24" s="84" t="str">
        <f>IFERROR('Facility Master'!D23,0)</f>
        <v>Financial BG / SBLC</v>
      </c>
      <c r="E24" s="36" t="str">
        <f>IFERROR('Facility Master'!E23,0)</f>
        <v>NFB</v>
      </c>
      <c r="F24" s="76">
        <f>IFERROR('Facility Master'!J23,0)</f>
        <v>200</v>
      </c>
      <c r="G24" s="76">
        <f>IFERROR('Facility Master'!L23,0)</f>
        <v>200</v>
      </c>
      <c r="H24" s="85">
        <f>IFERROR('Facility Master'!Q23,0)</f>
        <v>5.0000000000000001E-3</v>
      </c>
      <c r="I24" s="77">
        <f t="shared" si="0"/>
        <v>200</v>
      </c>
      <c r="J24" s="100">
        <f t="shared" si="1"/>
        <v>1</v>
      </c>
      <c r="K24" s="36" t="str">
        <f>'Facility Master'!R23</f>
        <v>Fixed</v>
      </c>
      <c r="L24" s="84" t="str">
        <f>'Facility Master'!O23</f>
        <v>Fixed commission</v>
      </c>
      <c r="M24" s="85" t="str">
        <f>'Facility Master'!P23</f>
        <v>-</v>
      </c>
    </row>
    <row r="25" spans="2:14" ht="27.75" customHeight="1" x14ac:dyDescent="0.3">
      <c r="B25" s="101">
        <v>20</v>
      </c>
      <c r="C25" s="83" t="str">
        <f>'Facility Master'!C24</f>
        <v>YES Bank</v>
      </c>
      <c r="D25" s="84" t="str">
        <f>IFERROR('Facility Master'!D24,0)</f>
        <v>Working Capital Demand Loan (WCDL)</v>
      </c>
      <c r="E25" s="36" t="str">
        <f>IFERROR('Facility Master'!E24,0)</f>
        <v>FB</v>
      </c>
      <c r="F25" s="76">
        <f>IFERROR('Facility Master'!J24,0)</f>
        <v>50</v>
      </c>
      <c r="G25" s="76">
        <f>IFERROR('Facility Master'!L24,0)</f>
        <v>50</v>
      </c>
      <c r="H25" s="85">
        <f>IFERROR('Facility Master'!Q24,0)</f>
        <v>0</v>
      </c>
      <c r="I25" s="77">
        <f t="shared" si="0"/>
        <v>50</v>
      </c>
      <c r="J25" s="100">
        <f t="shared" si="1"/>
        <v>0</v>
      </c>
      <c r="K25" s="36" t="str">
        <f>'Facility Master'!R24</f>
        <v>TBD</v>
      </c>
      <c r="L25" s="84" t="str">
        <f>'Facility Master'!O24</f>
        <v>To be decided</v>
      </c>
      <c r="M25" s="85" t="str">
        <f>'Facility Master'!P24</f>
        <v>-</v>
      </c>
    </row>
    <row r="26" spans="2:14" ht="27.75" customHeight="1" x14ac:dyDescent="0.3">
      <c r="B26" s="99">
        <v>21</v>
      </c>
      <c r="C26" s="83" t="str">
        <f>'Facility Master'!C25</f>
        <v>YES Bank</v>
      </c>
      <c r="D26" s="84" t="str">
        <f>IFERROR('Facility Master'!D25,0)</f>
        <v>Term Loan (Refinance Canara)</v>
      </c>
      <c r="E26" s="36" t="str">
        <f>IFERROR('Facility Master'!E25,0)</f>
        <v>FB-Term</v>
      </c>
      <c r="F26" s="76">
        <f>IFERROR('Facility Master'!J25,0)</f>
        <v>320.7</v>
      </c>
      <c r="G26" s="76">
        <f>IFERROR('Facility Master'!L25,0)</f>
        <v>320.7</v>
      </c>
      <c r="H26" s="85">
        <f>IFERROR('Facility Master'!Q25,0)</f>
        <v>7.6999999999999999E-2</v>
      </c>
      <c r="I26" s="77">
        <f t="shared" si="0"/>
        <v>320.7</v>
      </c>
      <c r="J26" s="100">
        <f t="shared" si="1"/>
        <v>24.693899999999999</v>
      </c>
      <c r="K26" s="36" t="str">
        <f>'Facility Master'!R25</f>
        <v>Floating</v>
      </c>
      <c r="L26" s="84" t="str">
        <f>'Facility Master'!O25</f>
        <v>3M T-Bill</v>
      </c>
      <c r="M26" s="85">
        <f>'Facility Master'!P25</f>
        <v>2.52E-2</v>
      </c>
    </row>
    <row r="27" spans="2:14" ht="27.75" customHeight="1" x14ac:dyDescent="0.3">
      <c r="B27" s="101">
        <v>22</v>
      </c>
      <c r="C27" s="83" t="str">
        <f>'Facility Master'!C26</f>
        <v>Bajaj Finance</v>
      </c>
      <c r="D27" s="84" t="str">
        <f>IFERROR('Facility Master'!D26,0)</f>
        <v>Term Loan</v>
      </c>
      <c r="E27" s="36" t="str">
        <f>IFERROR('Facility Master'!E26,0)</f>
        <v>FB-Term</v>
      </c>
      <c r="F27" s="76">
        <f>IFERROR('Facility Master'!J26,0)</f>
        <v>150</v>
      </c>
      <c r="G27" s="76">
        <f>IFERROR('Facility Master'!L26,0)</f>
        <v>150</v>
      </c>
      <c r="H27" s="85">
        <f>IFERROR('Facility Master'!Q26,0)</f>
        <v>8.6000000000000007E-2</v>
      </c>
      <c r="I27" s="77">
        <f t="shared" si="0"/>
        <v>150</v>
      </c>
      <c r="J27" s="100">
        <f t="shared" si="1"/>
        <v>12.9</v>
      </c>
      <c r="K27" s="36" t="str">
        <f>'Facility Master'!R26</f>
        <v>Floating</v>
      </c>
      <c r="L27" s="84" t="str">
        <f>'Facility Master'!O26</f>
        <v>Bajaj Floating Reference Rate (BFRR)</v>
      </c>
      <c r="M27" s="85">
        <f>'Facility Master'!P26</f>
        <v>1E-3</v>
      </c>
    </row>
    <row r="28" spans="2:14" ht="27.75" customHeight="1" x14ac:dyDescent="0.3">
      <c r="B28" s="99">
        <v>23</v>
      </c>
      <c r="C28" s="83" t="str">
        <f>'Facility Master'!C27</f>
        <v>ICICI Bank</v>
      </c>
      <c r="D28" s="84" t="str">
        <f>IFERROR('Facility Master'!D27,0)</f>
        <v>Cash Credit</v>
      </c>
      <c r="E28" s="36" t="str">
        <f>IFERROR('Facility Master'!E27,0)</f>
        <v>FB</v>
      </c>
      <c r="F28" s="76">
        <f>IFERROR('Facility Master'!J27,0)</f>
        <v>50</v>
      </c>
      <c r="G28" s="76">
        <f>IFERROR('Facility Master'!L27,0)</f>
        <v>50</v>
      </c>
      <c r="H28" s="85">
        <f>IFERROR('Facility Master'!Q27,0)</f>
        <v>8.7500000000000008E-2</v>
      </c>
      <c r="I28" s="77">
        <f t="shared" si="0"/>
        <v>50</v>
      </c>
      <c r="J28" s="100">
        <f t="shared" si="1"/>
        <v>4.375</v>
      </c>
      <c r="K28" s="36" t="str">
        <f>'Facility Master'!R27</f>
        <v>Floating</v>
      </c>
      <c r="L28" s="84" t="str">
        <f>'Facility Master'!O27</f>
        <v>6M I-MCLR (ICICI)</v>
      </c>
      <c r="M28" s="85">
        <f>'Facility Master'!P27</f>
        <v>4.4999999999999997E-3</v>
      </c>
    </row>
    <row r="29" spans="2:14" ht="27.75" customHeight="1" x14ac:dyDescent="0.3">
      <c r="B29" s="101">
        <v>24</v>
      </c>
      <c r="C29" s="83" t="str">
        <f>'Facility Master'!C28</f>
        <v>ICICI Bank</v>
      </c>
      <c r="D29" s="84" t="str">
        <f>IFERROR('Facility Master'!D28,0)</f>
        <v>Working Capital Demand Loan (WCDL)</v>
      </c>
      <c r="E29" s="36" t="str">
        <f>IFERROR('Facility Master'!E28,0)</f>
        <v>FB</v>
      </c>
      <c r="F29" s="76">
        <f>IFERROR('Facility Master'!J28,0)</f>
        <v>50</v>
      </c>
      <c r="G29" s="76">
        <f>IFERROR('Facility Master'!L28,0)</f>
        <v>50</v>
      </c>
      <c r="H29" s="85">
        <f>IFERROR('Facility Master'!Q28,0)</f>
        <v>5.2499999999999998E-2</v>
      </c>
      <c r="I29" s="77">
        <f t="shared" si="0"/>
        <v>50</v>
      </c>
      <c r="J29" s="100">
        <f t="shared" si="1"/>
        <v>2.625</v>
      </c>
      <c r="K29" s="36" t="str">
        <f>'Facility Master'!R28</f>
        <v>Floating</v>
      </c>
      <c r="L29" s="84" t="str">
        <f>'Facility Master'!O28</f>
        <v>Repo Rate</v>
      </c>
      <c r="M29" s="85" t="str">
        <f>'Facility Master'!P28</f>
        <v>-</v>
      </c>
      <c r="N29" s="223" t="s">
        <v>1135</v>
      </c>
    </row>
    <row r="30" spans="2:14" ht="27.75" customHeight="1" x14ac:dyDescent="0.3">
      <c r="B30" s="99">
        <v>25</v>
      </c>
      <c r="C30" s="83" t="str">
        <f>'Facility Master'!C29</f>
        <v>ICICI Bank</v>
      </c>
      <c r="D30" s="84" t="str">
        <f>IFERROR('Facility Master'!D29,0)</f>
        <v>Letter of Credit (Inland/Foreign)</v>
      </c>
      <c r="E30" s="36" t="str">
        <f>IFERROR('Facility Master'!E29,0)</f>
        <v>NFB</v>
      </c>
      <c r="F30" s="76">
        <f>IFERROR('Facility Master'!J29,0)</f>
        <v>150</v>
      </c>
      <c r="G30" s="76">
        <f>IFERROR('Facility Master'!L29,0)</f>
        <v>150</v>
      </c>
      <c r="H30" s="85">
        <f>IFERROR('Facility Master'!Q29,0)</f>
        <v>5.0000000000000001E-3</v>
      </c>
      <c r="I30" s="77">
        <f t="shared" si="0"/>
        <v>150</v>
      </c>
      <c r="J30" s="100">
        <f t="shared" si="1"/>
        <v>0.75</v>
      </c>
      <c r="K30" s="36" t="str">
        <f>'Facility Master'!R29</f>
        <v>Fixed</v>
      </c>
      <c r="L30" s="84" t="str">
        <f>'Facility Master'!O29</f>
        <v>Fixed commission</v>
      </c>
      <c r="M30" s="85" t="str">
        <f>'Facility Master'!P29</f>
        <v>-</v>
      </c>
    </row>
    <row r="31" spans="2:14" ht="27.75" customHeight="1" x14ac:dyDescent="0.3">
      <c r="B31" s="101">
        <v>26</v>
      </c>
      <c r="C31" s="83" t="str">
        <f>'Facility Master'!C30</f>
        <v>ICICI Bank</v>
      </c>
      <c r="D31" s="84" t="str">
        <f>IFERROR('Facility Master'!D30,0)</f>
        <v>SBLC for Buyers' Credit</v>
      </c>
      <c r="E31" s="36" t="str">
        <f>IFERROR('Facility Master'!E30,0)</f>
        <v>NFB</v>
      </c>
      <c r="F31" s="76">
        <f>IFERROR('Facility Master'!J30,0)</f>
        <v>150</v>
      </c>
      <c r="G31" s="76">
        <f>IFERROR('Facility Master'!L30,0)</f>
        <v>150</v>
      </c>
      <c r="H31" s="85">
        <f>IFERROR('Facility Master'!Q30,0)</f>
        <v>5.0000000000000001E-3</v>
      </c>
      <c r="I31" s="77">
        <f t="shared" si="0"/>
        <v>150</v>
      </c>
      <c r="J31" s="100">
        <f t="shared" si="1"/>
        <v>0.75</v>
      </c>
      <c r="K31" s="36" t="str">
        <f>'Facility Master'!R30</f>
        <v>Fixed</v>
      </c>
      <c r="L31" s="84" t="str">
        <f>'Facility Master'!O30</f>
        <v>Fixed commission</v>
      </c>
      <c r="M31" s="85" t="str">
        <f>'Facility Master'!P30</f>
        <v>-</v>
      </c>
    </row>
    <row r="32" spans="2:14" ht="27.75" customHeight="1" x14ac:dyDescent="0.3">
      <c r="B32" s="99">
        <v>27</v>
      </c>
      <c r="C32" s="83" t="str">
        <f>'Facility Master'!C31</f>
        <v>ICICI Bank</v>
      </c>
      <c r="D32" s="84" t="str">
        <f>IFERROR('Facility Master'!D31,0)</f>
        <v>Bank Guarantee - Performance</v>
      </c>
      <c r="E32" s="36" t="str">
        <f>IFERROR('Facility Master'!E31,0)</f>
        <v>NFB</v>
      </c>
      <c r="F32" s="76">
        <f>IFERROR('Facility Master'!J31,0)</f>
        <v>25</v>
      </c>
      <c r="G32" s="76">
        <f>IFERROR('Facility Master'!L31,0)</f>
        <v>25</v>
      </c>
      <c r="H32" s="85">
        <f>IFERROR('Facility Master'!Q31,0)</f>
        <v>5.0000000000000001E-3</v>
      </c>
      <c r="I32" s="77">
        <f t="shared" si="0"/>
        <v>25</v>
      </c>
      <c r="J32" s="100">
        <f t="shared" si="1"/>
        <v>0.125</v>
      </c>
      <c r="K32" s="36" t="str">
        <f>'Facility Master'!R31</f>
        <v>Fixed</v>
      </c>
      <c r="L32" s="84" t="str">
        <f>'Facility Master'!O31</f>
        <v>Fixed commission</v>
      </c>
      <c r="M32" s="85" t="str">
        <f>'Facility Master'!P31</f>
        <v>-</v>
      </c>
    </row>
    <row r="33" spans="2:13" ht="27.75" customHeight="1" x14ac:dyDescent="0.3">
      <c r="B33" s="101">
        <v>28</v>
      </c>
      <c r="C33" s="83" t="str">
        <f>'Facility Master'!C32</f>
        <v>ICICI Bank</v>
      </c>
      <c r="D33" s="84" t="str">
        <f>IFERROR('Facility Master'!D32,0)</f>
        <v>Bank Guarantee - Financial</v>
      </c>
      <c r="E33" s="36" t="str">
        <f>IFERROR('Facility Master'!E32,0)</f>
        <v>NFB</v>
      </c>
      <c r="F33" s="76">
        <f>IFERROR('Facility Master'!J32,0)</f>
        <v>5</v>
      </c>
      <c r="G33" s="76">
        <f>IFERROR('Facility Master'!L32,0)</f>
        <v>5</v>
      </c>
      <c r="H33" s="85">
        <f>IFERROR('Facility Master'!Q32,0)</f>
        <v>6.0000000000000001E-3</v>
      </c>
      <c r="I33" s="77">
        <f t="shared" si="0"/>
        <v>5</v>
      </c>
      <c r="J33" s="100">
        <f t="shared" si="1"/>
        <v>0.03</v>
      </c>
      <c r="K33" s="36" t="str">
        <f>'Facility Master'!R32</f>
        <v>Fixed</v>
      </c>
      <c r="L33" s="84" t="str">
        <f>'Facility Master'!O32</f>
        <v>Fixed commission</v>
      </c>
      <c r="M33" s="85" t="str">
        <f>'Facility Master'!P32</f>
        <v>-</v>
      </c>
    </row>
    <row r="34" spans="2:13" ht="27.75" customHeight="1" x14ac:dyDescent="0.3">
      <c r="B34" s="99">
        <v>29</v>
      </c>
      <c r="C34" s="83" t="str">
        <f>'Facility Master'!C33</f>
        <v>South Indian Bank</v>
      </c>
      <c r="D34" s="84" t="str">
        <f>IFERROR('Facility Master'!D33,0)</f>
        <v>CCOL (Cash Credit)</v>
      </c>
      <c r="E34" s="36" t="str">
        <f>IFERROR('Facility Master'!E33,0)</f>
        <v>FB</v>
      </c>
      <c r="F34" s="76">
        <f>IFERROR('Facility Master'!J33,0)</f>
        <v>50</v>
      </c>
      <c r="G34" s="76">
        <f>IFERROR('Facility Master'!L33,0)</f>
        <v>50</v>
      </c>
      <c r="H34" s="85">
        <f>IFERROR('Facility Master'!Q33,0)</f>
        <v>0.10200000000000001</v>
      </c>
      <c r="I34" s="77">
        <f t="shared" si="0"/>
        <v>50</v>
      </c>
      <c r="J34" s="100">
        <f t="shared" si="1"/>
        <v>5.1000000000000005</v>
      </c>
      <c r="K34" s="36" t="str">
        <f>'Facility Master'!R33</f>
        <v>Floating</v>
      </c>
      <c r="L34" s="84" t="str">
        <f>'Facility Master'!O33</f>
        <v>12M MCLR (SIB)</v>
      </c>
      <c r="M34" s="85">
        <f>'Facility Master'!P33</f>
        <v>4.4999999999999997E-3</v>
      </c>
    </row>
    <row r="35" spans="2:13" ht="27.75" customHeight="1" x14ac:dyDescent="0.3">
      <c r="B35" s="101">
        <v>30</v>
      </c>
      <c r="C35" s="83" t="str">
        <f>'Facility Master'!C34</f>
        <v>South Indian Bank</v>
      </c>
      <c r="D35" s="84" t="str">
        <f>IFERROR('Facility Master'!D34,0)</f>
        <v>WCL / WCDL</v>
      </c>
      <c r="E35" s="36" t="str">
        <f>IFERROR('Facility Master'!E34,0)</f>
        <v>FB</v>
      </c>
      <c r="F35" s="76">
        <f>IFERROR('Facility Master'!J34,0)</f>
        <v>50</v>
      </c>
      <c r="G35" s="76">
        <f>IFERROR('Facility Master'!L34,0)</f>
        <v>50</v>
      </c>
      <c r="H35" s="85">
        <f>IFERROR('Facility Master'!Q34,0)</f>
        <v>0</v>
      </c>
      <c r="I35" s="77">
        <f t="shared" si="0"/>
        <v>50</v>
      </c>
      <c r="J35" s="100">
        <f t="shared" si="1"/>
        <v>0</v>
      </c>
      <c r="K35" s="36" t="str">
        <f>'Facility Master'!R34</f>
        <v>TBD</v>
      </c>
      <c r="L35" s="84" t="str">
        <f>'Facility Master'!O34</f>
        <v>To be decided</v>
      </c>
      <c r="M35" s="85" t="str">
        <f>'Facility Master'!P34</f>
        <v>-</v>
      </c>
    </row>
    <row r="36" spans="2:13" ht="27.75" customHeight="1" x14ac:dyDescent="0.3">
      <c r="B36" s="99">
        <v>31</v>
      </c>
      <c r="C36" s="83" t="str">
        <f>'Facility Master'!C35</f>
        <v>South Indian Bank</v>
      </c>
      <c r="D36" s="84" t="str">
        <f>IFERROR('Facility Master'!D35,0)</f>
        <v>Inland / Import LC</v>
      </c>
      <c r="E36" s="36" t="str">
        <f>IFERROR('Facility Master'!E35,0)</f>
        <v>NFB</v>
      </c>
      <c r="F36" s="76">
        <f>IFERROR('Facility Master'!J35,0)</f>
        <v>150</v>
      </c>
      <c r="G36" s="76">
        <f>IFERROR('Facility Master'!L35,0)</f>
        <v>150</v>
      </c>
      <c r="H36" s="85">
        <f>IFERROR('Facility Master'!Q35,0)</f>
        <v>6.4999999999999997E-3</v>
      </c>
      <c r="I36" s="77">
        <f t="shared" si="0"/>
        <v>150</v>
      </c>
      <c r="J36" s="100">
        <f t="shared" si="1"/>
        <v>0.97499999999999998</v>
      </c>
      <c r="K36" s="36" t="str">
        <f>'Facility Master'!R35</f>
        <v>Fixed</v>
      </c>
      <c r="L36" s="84" t="str">
        <f>'Facility Master'!O35</f>
        <v>Fixed commission</v>
      </c>
      <c r="M36" s="85" t="str">
        <f>'Facility Master'!P35</f>
        <v>-</v>
      </c>
    </row>
    <row r="37" spans="2:13" ht="27.75" customHeight="1" x14ac:dyDescent="0.3">
      <c r="B37" s="101">
        <v>32</v>
      </c>
      <c r="C37" s="83" t="str">
        <f>'Facility Master'!C36</f>
        <v>South Indian Bank</v>
      </c>
      <c r="D37" s="84" t="str">
        <f>IFERROR('Facility Master'!D36,0)</f>
        <v>Capex LC</v>
      </c>
      <c r="E37" s="36" t="str">
        <f>IFERROR('Facility Master'!E36,0)</f>
        <v>NFB</v>
      </c>
      <c r="F37" s="76">
        <f>IFERROR('Facility Master'!J36,0)</f>
        <v>50</v>
      </c>
      <c r="G37" s="76">
        <f>IFERROR('Facility Master'!L36,0)</f>
        <v>50</v>
      </c>
      <c r="H37" s="85">
        <f>IFERROR('Facility Master'!Q36,0)</f>
        <v>7.4999999999999997E-3</v>
      </c>
      <c r="I37" s="77">
        <f t="shared" si="0"/>
        <v>50</v>
      </c>
      <c r="J37" s="100">
        <f t="shared" si="1"/>
        <v>0.375</v>
      </c>
      <c r="K37" s="36" t="str">
        <f>'Facility Master'!R36</f>
        <v>Fixed</v>
      </c>
      <c r="L37" s="84" t="str">
        <f>'Facility Master'!O36</f>
        <v>Fixed commission</v>
      </c>
      <c r="M37" s="85" t="str">
        <f>'Facility Master'!P36</f>
        <v>-</v>
      </c>
    </row>
    <row r="38" spans="2:13" ht="27.75" customHeight="1" x14ac:dyDescent="0.3">
      <c r="B38" s="99">
        <v>33</v>
      </c>
      <c r="C38" s="83" t="str">
        <f>'Facility Master'!C37</f>
        <v>South Indian Bank</v>
      </c>
      <c r="D38" s="84" t="str">
        <f>IFERROR('Facility Master'!D37,0)</f>
        <v>SBLC</v>
      </c>
      <c r="E38" s="36" t="str">
        <f>IFERROR('Facility Master'!E37,0)</f>
        <v>NFB</v>
      </c>
      <c r="F38" s="76">
        <f>IFERROR('Facility Master'!J37,0)</f>
        <v>150</v>
      </c>
      <c r="G38" s="76">
        <f>IFERROR('Facility Master'!L37,0)</f>
        <v>150</v>
      </c>
      <c r="H38" s="85">
        <f>IFERROR('Facility Master'!Q37,0)</f>
        <v>6.4999999999999997E-3</v>
      </c>
      <c r="I38" s="77">
        <f t="shared" si="0"/>
        <v>150</v>
      </c>
      <c r="J38" s="100">
        <f t="shared" si="1"/>
        <v>0.97499999999999998</v>
      </c>
      <c r="K38" s="36" t="str">
        <f>'Facility Master'!R37</f>
        <v>Fixed</v>
      </c>
      <c r="L38" s="84" t="str">
        <f>'Facility Master'!O37</f>
        <v>Fixed commission</v>
      </c>
      <c r="M38" s="85" t="str">
        <f>'Facility Master'!P37</f>
        <v>-</v>
      </c>
    </row>
    <row r="39" spans="2:13" ht="27.75" customHeight="1" x14ac:dyDescent="0.3">
      <c r="B39" s="101">
        <v>34</v>
      </c>
      <c r="C39" s="83" t="str">
        <f>'Facility Master'!C38</f>
        <v>South Indian Bank</v>
      </c>
      <c r="D39" s="84" t="str">
        <f>IFERROR('Facility Master'!D38,0)</f>
        <v>Forward Contract Limit</v>
      </c>
      <c r="E39" s="36" t="str">
        <f>IFERROR('Facility Master'!E38,0)</f>
        <v>Hedge</v>
      </c>
      <c r="F39" s="76">
        <f>IFERROR('Facility Master'!J38,0)</f>
        <v>3</v>
      </c>
      <c r="G39" s="76">
        <f>IFERROR('Facility Master'!L38,0)</f>
        <v>3</v>
      </c>
      <c r="H39" s="85">
        <f>IFERROR('Facility Master'!Q38,0)</f>
        <v>0</v>
      </c>
      <c r="I39" s="77">
        <f t="shared" si="0"/>
        <v>3</v>
      </c>
      <c r="J39" s="100">
        <f t="shared" si="1"/>
        <v>0</v>
      </c>
      <c r="K39" s="36" t="str">
        <f>'Facility Master'!R38</f>
        <v>Fixed</v>
      </c>
      <c r="L39" s="84" t="str">
        <f>'Facility Master'!O38</f>
        <v>N/A</v>
      </c>
      <c r="M39" s="85" t="str">
        <f>'Facility Master'!P38</f>
        <v>-</v>
      </c>
    </row>
    <row r="40" spans="2:13" ht="15" customHeight="1" x14ac:dyDescent="0.3">
      <c r="B40" s="304" t="s">
        <v>419</v>
      </c>
      <c r="C40" s="304"/>
      <c r="D40" s="304"/>
      <c r="E40" s="304"/>
      <c r="F40" s="72">
        <f>IFERROR(SUM(F6:F39),0)</f>
        <v>3410.7</v>
      </c>
      <c r="G40" s="72">
        <f>IFERROR(SUM(G6:G39),0)</f>
        <v>3410.7</v>
      </c>
      <c r="H40" s="73">
        <f>IFERROR(SUMPRODUCT(H6:H39,I6:I39)/SUMIFS(I6:I39,H6:H39,"&gt;0"),0)</f>
        <v>3.8681820188021361E-2</v>
      </c>
      <c r="I40" s="72">
        <f>IFERROR(SUM(I6:I39),0)</f>
        <v>3410.7</v>
      </c>
      <c r="J40" s="72">
        <f>IFERROR(SUM(J6:J39),0)</f>
        <v>87.64139999999999</v>
      </c>
      <c r="K40" s="71"/>
      <c r="L40" s="71"/>
      <c r="M40" s="71"/>
    </row>
    <row r="43" spans="2:13" ht="21.75" customHeight="1" x14ac:dyDescent="0.3">
      <c r="B43" s="312" t="s">
        <v>591</v>
      </c>
      <c r="C43" s="312"/>
      <c r="D43" s="312"/>
      <c r="E43" s="312"/>
      <c r="F43" s="312"/>
      <c r="G43" s="312"/>
      <c r="H43" s="312"/>
      <c r="I43" s="312"/>
      <c r="J43" s="312"/>
      <c r="K43" s="312"/>
      <c r="L43" s="312"/>
      <c r="M43" s="312"/>
    </row>
    <row r="44" spans="2:13" ht="21.75" customHeight="1" x14ac:dyDescent="0.3">
      <c r="B44" s="316" t="s">
        <v>592</v>
      </c>
      <c r="C44" s="316"/>
      <c r="D44" s="316"/>
      <c r="E44" s="316"/>
      <c r="F44" s="316"/>
      <c r="G44" s="316"/>
      <c r="H44" s="316"/>
      <c r="I44" s="317">
        <f>IFERROR(SUMPRODUCT((E6:E39="FB")*J6:J39)+SUMPRODUCT((E6:E39="FB-Term")*J6:J39)+SUMPRODUCT((E6:E39="FB-FCY")*J6:J39)+SUMPRODUCT((E6:E39="FB-FDbacked")*J6:J39),0)</f>
        <v>80.511399999999995</v>
      </c>
      <c r="J44" s="317"/>
      <c r="K44" s="317"/>
      <c r="L44" s="317"/>
      <c r="M44" s="317"/>
    </row>
    <row r="45" spans="2:13" ht="21.75" customHeight="1" x14ac:dyDescent="0.3">
      <c r="B45" s="316" t="s">
        <v>593</v>
      </c>
      <c r="C45" s="316"/>
      <c r="D45" s="316"/>
      <c r="E45" s="316"/>
      <c r="F45" s="316"/>
      <c r="G45" s="316"/>
      <c r="H45" s="316"/>
      <c r="I45" s="317">
        <f>IFERROR(SUMPRODUCT((E6:E39="NFB")*J6:J39)+SUMPRODUCT((E6:E39="NFB-FDbacked")*J6:J39),0)</f>
        <v>7.13</v>
      </c>
      <c r="J45" s="317"/>
      <c r="K45" s="317"/>
      <c r="L45" s="317"/>
      <c r="M45" s="317"/>
    </row>
    <row r="46" spans="2:13" ht="21.75" customHeight="1" x14ac:dyDescent="0.3">
      <c r="B46" s="316" t="s">
        <v>594</v>
      </c>
      <c r="C46" s="316"/>
      <c r="D46" s="316"/>
      <c r="E46" s="316"/>
      <c r="F46" s="316"/>
      <c r="G46" s="316"/>
      <c r="H46" s="316"/>
      <c r="I46" s="317">
        <f>IFERROR(SUMPRODUCT((E6:E39="Hedge")*J6:J39),0)</f>
        <v>0</v>
      </c>
      <c r="J46" s="317"/>
      <c r="K46" s="317"/>
      <c r="L46" s="317"/>
      <c r="M46" s="317"/>
    </row>
    <row r="47" spans="2:13" ht="21.75" customHeight="1" x14ac:dyDescent="0.3">
      <c r="B47" s="316" t="s">
        <v>595</v>
      </c>
      <c r="C47" s="316"/>
      <c r="D47" s="316"/>
      <c r="E47" s="316"/>
      <c r="F47" s="316"/>
      <c r="G47" s="316"/>
      <c r="H47" s="316"/>
      <c r="I47" s="317">
        <f>IFERROR(J40,0)</f>
        <v>87.64139999999999</v>
      </c>
      <c r="J47" s="317"/>
      <c r="K47" s="317"/>
      <c r="L47" s="317"/>
      <c r="M47" s="317"/>
    </row>
    <row r="48" spans="2:13" ht="21.75" customHeight="1" x14ac:dyDescent="0.3">
      <c r="B48" s="316" t="s">
        <v>596</v>
      </c>
      <c r="C48" s="316"/>
      <c r="D48" s="316"/>
      <c r="E48" s="316"/>
      <c r="F48" s="316"/>
      <c r="G48" s="316"/>
      <c r="H48" s="316"/>
      <c r="I48" s="318">
        <f>IFERROR(SUMPRODUCT((LEFT(E6:E39,2)="FB")*H6:H39*G6:G39)/SUMPRODUCT((LEFT(E6:E39,2)="FB")*G6:G39),0)</f>
        <v>4.4293007647026456E-2</v>
      </c>
      <c r="J48" s="318"/>
      <c r="K48" s="318"/>
      <c r="L48" s="318"/>
      <c r="M48" s="318"/>
    </row>
    <row r="49" spans="2:13" ht="21.75" customHeight="1" x14ac:dyDescent="0.3">
      <c r="B49" s="316" t="s">
        <v>597</v>
      </c>
      <c r="C49" s="316"/>
      <c r="D49" s="316"/>
      <c r="E49" s="316"/>
      <c r="F49" s="316"/>
      <c r="G49" s="316"/>
      <c r="H49" s="316"/>
      <c r="I49" s="317">
        <f>IFERROR(SUMPRODUCT((LEFT(E6:E39,2)="FB")*G6:G39),0)</f>
        <v>1817.7</v>
      </c>
      <c r="J49" s="317"/>
      <c r="K49" s="317"/>
      <c r="L49" s="317"/>
      <c r="M49" s="317"/>
    </row>
    <row r="51" spans="2:13" ht="21.75" customHeight="1" x14ac:dyDescent="0.3">
      <c r="B51" s="315" t="s">
        <v>598</v>
      </c>
      <c r="C51" s="315"/>
      <c r="D51" s="315"/>
      <c r="E51" s="315"/>
      <c r="F51" s="315"/>
      <c r="G51" s="315"/>
      <c r="H51" s="315"/>
      <c r="I51" s="315"/>
      <c r="J51" s="315"/>
      <c r="K51" s="315"/>
      <c r="L51" s="315"/>
      <c r="M51" s="315"/>
    </row>
    <row r="52" spans="2:13" ht="30" customHeight="1" x14ac:dyDescent="0.3">
      <c r="B52" s="314" t="s">
        <v>599</v>
      </c>
      <c r="C52" s="314"/>
      <c r="D52" s="314"/>
      <c r="E52" s="314"/>
      <c r="F52" s="314"/>
      <c r="G52" s="314"/>
      <c r="H52" s="314"/>
      <c r="I52" s="314"/>
      <c r="J52" s="314"/>
      <c r="K52" s="314"/>
      <c r="L52" s="314"/>
      <c r="M52" s="314"/>
    </row>
  </sheetData>
  <mergeCells count="18">
    <mergeCell ref="B52:M52"/>
    <mergeCell ref="B48:H48"/>
    <mergeCell ref="I48:M48"/>
    <mergeCell ref="B49:H49"/>
    <mergeCell ref="I49:M49"/>
    <mergeCell ref="B51:M51"/>
    <mergeCell ref="B45:H45"/>
    <mergeCell ref="I45:M45"/>
    <mergeCell ref="B46:H46"/>
    <mergeCell ref="I46:M46"/>
    <mergeCell ref="B47:H47"/>
    <mergeCell ref="I47:M47"/>
    <mergeCell ref="B2:M2"/>
    <mergeCell ref="B3:M3"/>
    <mergeCell ref="B40:E40"/>
    <mergeCell ref="B43:M43"/>
    <mergeCell ref="B44:H44"/>
    <mergeCell ref="I44:M4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B2:K37"/>
  <sheetViews>
    <sheetView showGridLines="0" zoomScaleNormal="100" workbookViewId="0">
      <pane xSplit="3" ySplit="5" topLeftCell="D6" activePane="bottomRight" state="frozen"/>
      <selection pane="topRight" activeCell="D1" sqref="D1"/>
      <selection pane="bottomLeft" activeCell="A6" sqref="A6"/>
      <selection pane="bottomRight" activeCell="G9" sqref="G9"/>
    </sheetView>
  </sheetViews>
  <sheetFormatPr defaultColWidth="8.6640625" defaultRowHeight="14.4" x14ac:dyDescent="0.3"/>
  <cols>
    <col min="1" max="1" width="3" customWidth="1"/>
    <col min="2" max="2" width="4" customWidth="1"/>
    <col min="3" max="3" width="16" customWidth="1"/>
    <col min="4" max="4" width="32" customWidth="1"/>
    <col min="5" max="6" width="14" customWidth="1"/>
    <col min="7" max="7" width="19.77734375" customWidth="1"/>
    <col min="8" max="8" width="16" customWidth="1"/>
    <col min="9" max="9" width="19.6640625" customWidth="1"/>
    <col min="10" max="10" width="22" customWidth="1"/>
    <col min="11" max="11" width="28" customWidth="1"/>
  </cols>
  <sheetData>
    <row r="2" spans="2:11" ht="36" customHeight="1" x14ac:dyDescent="0.3">
      <c r="B2" s="300" t="s">
        <v>600</v>
      </c>
      <c r="C2" s="300"/>
      <c r="D2" s="300"/>
      <c r="E2" s="300"/>
      <c r="F2" s="300"/>
      <c r="G2" s="300"/>
      <c r="H2" s="300"/>
      <c r="I2" s="300"/>
      <c r="J2" s="300"/>
      <c r="K2" s="300"/>
    </row>
    <row r="3" spans="2:11" ht="27.75" customHeight="1" x14ac:dyDescent="0.3">
      <c r="B3" s="311" t="s">
        <v>601</v>
      </c>
      <c r="C3" s="311"/>
      <c r="D3" s="311"/>
      <c r="E3" s="311"/>
      <c r="F3" s="311"/>
      <c r="G3" s="311"/>
      <c r="H3" s="311"/>
      <c r="I3" s="311"/>
      <c r="J3" s="311"/>
      <c r="K3" s="311"/>
    </row>
    <row r="4" spans="2:11" s="126" customFormat="1" ht="7.95" customHeight="1" x14ac:dyDescent="0.3"/>
    <row r="5" spans="2:11" ht="39.75" customHeight="1" x14ac:dyDescent="0.3">
      <c r="B5" s="9" t="s">
        <v>422</v>
      </c>
      <c r="C5" s="9" t="s">
        <v>217</v>
      </c>
      <c r="D5" s="9" t="s">
        <v>602</v>
      </c>
      <c r="E5" s="9" t="s">
        <v>603</v>
      </c>
      <c r="F5" s="9" t="s">
        <v>604</v>
      </c>
      <c r="G5" s="9" t="s">
        <v>605</v>
      </c>
      <c r="H5" s="9" t="s">
        <v>444</v>
      </c>
      <c r="I5" s="9" t="s">
        <v>0</v>
      </c>
      <c r="J5" s="9" t="s">
        <v>606</v>
      </c>
      <c r="K5" s="9" t="s">
        <v>77</v>
      </c>
    </row>
    <row r="6" spans="2:11" ht="25.5" customHeight="1" x14ac:dyDescent="0.3">
      <c r="B6" s="92">
        <v>1</v>
      </c>
      <c r="C6" s="102" t="s">
        <v>260</v>
      </c>
      <c r="D6" s="103" t="s">
        <v>607</v>
      </c>
      <c r="E6" s="69" t="s">
        <v>608</v>
      </c>
      <c r="F6" s="92" t="s">
        <v>609</v>
      </c>
      <c r="G6" s="104">
        <f>IFERROR(IF(OR(FIN_EBITDA="",FIN_TAX_PAID="",FIN_INT_EXP="",FIN_SCHED_REPAY=""),"Pending Input",(FIN_EBITDA-FIN_TAX_PAID)/(FIN_SCHED_REPAY+FIN_INT_EXP)),"Pending Input")</f>
        <v>3.4889652877897301</v>
      </c>
      <c r="H6" s="104">
        <f>IFERROR(IF(ISNUMBER(G6),G6-1.25,"Pending Input"),"Pending Input")</f>
        <v>2.2389652877897301</v>
      </c>
      <c r="I6" s="40" t="str">
        <f>IF(NOT(ISNUMBER(G6)),"Pending Input",IF(H6&lt;0,"Breached (Red)",IF(H6&lt;0.125,"Near Breach (Amber)","Compliant (Green)")))</f>
        <v>Compliant (Green)</v>
      </c>
      <c r="J6" s="103" t="s">
        <v>610</v>
      </c>
      <c r="K6" s="105" t="s">
        <v>1121</v>
      </c>
    </row>
    <row r="7" spans="2:11" ht="25.5" customHeight="1" x14ac:dyDescent="0.3">
      <c r="B7" s="95">
        <v>2</v>
      </c>
      <c r="C7" s="106" t="s">
        <v>260</v>
      </c>
      <c r="D7" s="107" t="s">
        <v>611</v>
      </c>
      <c r="E7" s="70" t="s">
        <v>612</v>
      </c>
      <c r="F7" s="95" t="s">
        <v>613</v>
      </c>
      <c r="G7" s="108">
        <f>IFERROR(IF(OR(FIN_TERM_DEBT="",FIN_EBITDA=""),"Pending Input",FIN_TERM_DEBT/FIN_EBITDA),"Pending Input")</f>
        <v>1.1232420043754558</v>
      </c>
      <c r="H7" s="108">
        <f>IFERROR(IF(ISNUMBER(G7),2.5-G7,"Pending Input"),"Pending Input")</f>
        <v>1.3767579956245442</v>
      </c>
      <c r="I7" s="55" t="str">
        <f>IF(NOT(ISNUMBER(G7)),"Pending Input",IF(H7&lt;0,"Breached (Red)",IF(H7&lt;0.25,"Near Breach (Amber)","Compliant (Green)")))</f>
        <v>Compliant (Green)</v>
      </c>
      <c r="J7" s="107" t="s">
        <v>614</v>
      </c>
      <c r="K7" s="109" t="s">
        <v>615</v>
      </c>
    </row>
    <row r="8" spans="2:11" ht="25.5" customHeight="1" x14ac:dyDescent="0.3">
      <c r="B8" s="92">
        <v>3</v>
      </c>
      <c r="C8" s="102" t="s">
        <v>260</v>
      </c>
      <c r="D8" s="103" t="s">
        <v>616</v>
      </c>
      <c r="E8" s="69" t="s">
        <v>617</v>
      </c>
      <c r="F8" s="92" t="s">
        <v>613</v>
      </c>
      <c r="G8" s="104">
        <f>IFERROR(IF(OR(FIN_TOL="",FIN_TNW=""),"Pending Input",FIN_TOL/FIN_TNW),"Pending Input")</f>
        <v>1.5449853404131706</v>
      </c>
      <c r="H8" s="104">
        <f>IFERROR(IF(ISNUMBER(G8),3-G8,"Pending Input"),"Pending Input")</f>
        <v>1.4550146595868294</v>
      </c>
      <c r="I8" s="40" t="str">
        <f>IF(NOT(ISNUMBER(G8)),"Pending Input",IF(H8&lt;0,"Breached (Red)",IF(H8&lt;0.3,"Near Breach (Amber)","Compliant (Green)")))</f>
        <v>Compliant (Green)</v>
      </c>
      <c r="J8" s="103" t="s">
        <v>614</v>
      </c>
      <c r="K8" s="105" t="s">
        <v>615</v>
      </c>
    </row>
    <row r="9" spans="2:11" ht="25.5" customHeight="1" x14ac:dyDescent="0.3">
      <c r="B9" s="95">
        <v>4</v>
      </c>
      <c r="C9" s="106" t="s">
        <v>260</v>
      </c>
      <c r="D9" s="107" t="s">
        <v>111</v>
      </c>
      <c r="E9" s="70" t="s">
        <v>618</v>
      </c>
      <c r="F9" s="95" t="s">
        <v>619</v>
      </c>
      <c r="G9" s="55" t="str">
        <f>IF(FIN_RATING="","Pending Input",FIN_RATING)</f>
        <v>CARE A+; Stable / A1</v>
      </c>
      <c r="H9" s="95" t="s">
        <v>228</v>
      </c>
      <c r="I9" s="55" t="str">
        <f>IF(FIN_RATING="","Pending Input",IF(OR(ISNUMBER(SEARCH("A+",FIN_RATING)),ISNUMBER(SEARCH("AA",FIN_RATING)),ISNUMBER(SEARCH("A-",FIN_RATING)),ISNUMBER(SEARCH("A ",FIN_RATING))),"Compliant (Green)","Breached (Red)"))</f>
        <v>Compliant (Green)</v>
      </c>
      <c r="J9" s="107" t="s">
        <v>620</v>
      </c>
      <c r="K9" s="109" t="s">
        <v>621</v>
      </c>
    </row>
    <row r="10" spans="2:11" ht="25.5" customHeight="1" x14ac:dyDescent="0.3">
      <c r="B10" s="92">
        <v>5</v>
      </c>
      <c r="C10" s="102" t="s">
        <v>346</v>
      </c>
      <c r="D10" s="103" t="s">
        <v>607</v>
      </c>
      <c r="E10" s="69" t="s">
        <v>622</v>
      </c>
      <c r="F10" s="92" t="s">
        <v>609</v>
      </c>
      <c r="G10" s="104">
        <f>IFERROR(IF(OR(FIN_EBITDA="",FIN_TAX_PAID="",FIN_INT_EXP="",FIN_SCHED_REPAY=""),"Pending Input",(FIN_EBITDA-FIN_TAX_PAID)/(FIN_SCHED_REPAY+FIN_INT_EXP)),"Pending Input")</f>
        <v>3.4889652877897301</v>
      </c>
      <c r="H10" s="104">
        <f>IFERROR(IF(ISNUMBER(G10),G10-1.2,"Pending Input"),"Pending Input")</f>
        <v>2.28896528778973</v>
      </c>
      <c r="I10" s="40" t="str">
        <f>IF(NOT(ISNUMBER(G10)),"Pending Input",IF(H10&lt;0,"Breached (Red)",IF(H10&lt;0.12,"Near Breach (Amber)","Compliant (Green)")))</f>
        <v>Compliant (Green)</v>
      </c>
      <c r="J10" s="103" t="s">
        <v>623</v>
      </c>
      <c r="K10" s="105" t="s">
        <v>1122</v>
      </c>
    </row>
    <row r="11" spans="2:11" ht="25.5" customHeight="1" x14ac:dyDescent="0.3">
      <c r="B11" s="95">
        <v>6</v>
      </c>
      <c r="C11" s="106" t="s">
        <v>346</v>
      </c>
      <c r="D11" s="107" t="s">
        <v>625</v>
      </c>
      <c r="E11" s="70" t="s">
        <v>626</v>
      </c>
      <c r="F11" s="95" t="s">
        <v>613</v>
      </c>
      <c r="G11" s="108">
        <f>IFERROR(IF(OR(FIN_TOTAL_DEBT="",FIN_EBITDA=""),"Pending Input",FIN_TOTAL_DEBT/FIN_EBITDA),"Pending Input")</f>
        <v>1.5965986040212523</v>
      </c>
      <c r="H11" s="108">
        <f>IFERROR(IF(ISNUMBER(G11),4.5-G11,"Pending Input"),"Pending Input")</f>
        <v>2.9034013959787477</v>
      </c>
      <c r="I11" s="55" t="str">
        <f>IF(NOT(ISNUMBER(G11)),"Pending Input",IF(H11&lt;0,"Breached (Red)",IF(H11&lt;0.45,"Near Breach (Amber)","Compliant (Green)")))</f>
        <v>Compliant (Green)</v>
      </c>
      <c r="J11" s="107" t="s">
        <v>623</v>
      </c>
      <c r="K11" s="109" t="s">
        <v>624</v>
      </c>
    </row>
    <row r="12" spans="2:11" ht="25.5" customHeight="1" x14ac:dyDescent="0.3">
      <c r="B12" s="92">
        <v>7</v>
      </c>
      <c r="C12" s="102" t="s">
        <v>346</v>
      </c>
      <c r="D12" s="103" t="s">
        <v>627</v>
      </c>
      <c r="E12" s="69" t="s">
        <v>628</v>
      </c>
      <c r="F12" s="92" t="s">
        <v>613</v>
      </c>
      <c r="G12" s="104">
        <f>IFERROR(IF(OR(FIN_TOTAL_DEBT="",FIN_EBITDA=""),"Pending Input",FIN_TOTAL_DEBT/FIN_EBITDA),"Pending Input")</f>
        <v>1.5965986040212523</v>
      </c>
      <c r="H12" s="104">
        <f>IFERROR(IF(ISNUMBER(G12),3.5-G12,"Pending Input"),"Pending Input")</f>
        <v>1.9034013959787477</v>
      </c>
      <c r="I12" s="40" t="str">
        <f>IF(NOT(ISNUMBER(G12)),"Pending Input",IF(H12&lt;0,"Breached (Red)",IF(H12&lt;0.35,"Near Breach (Amber)","Compliant (Green)")))</f>
        <v>Compliant (Green)</v>
      </c>
      <c r="J12" s="103" t="s">
        <v>623</v>
      </c>
      <c r="K12" s="105" t="s">
        <v>624</v>
      </c>
    </row>
    <row r="13" spans="2:11" ht="25.5" customHeight="1" x14ac:dyDescent="0.3">
      <c r="B13" s="95">
        <v>8</v>
      </c>
      <c r="C13" s="106" t="s">
        <v>346</v>
      </c>
      <c r="D13" s="107" t="s">
        <v>629</v>
      </c>
      <c r="E13" s="70" t="s">
        <v>630</v>
      </c>
      <c r="F13" s="95" t="s">
        <v>613</v>
      </c>
      <c r="G13" s="108">
        <f>IFERROR(IF(OR(FIN_TOTAL_DEBT="",FIN_ATNW=""),"Pending Input",FIN_TOTAL_DEBT/FIN_ATNW),"Pending Input")</f>
        <v>0.85053277096398239</v>
      </c>
      <c r="H13" s="108">
        <f>IFERROR(IF(ISNUMBER(G13),2-G13,"Pending Input"),"Pending Input")</f>
        <v>1.1494672290360177</v>
      </c>
      <c r="I13" s="55" t="str">
        <f>IF(NOT(ISNUMBER(G13)),"Pending Input",IF(H13&lt;0,"Breached (Red)",IF(H13&lt;0.2,"Near Breach (Amber)","Compliant (Green)")))</f>
        <v>Compliant (Green)</v>
      </c>
      <c r="J13" s="107" t="s">
        <v>623</v>
      </c>
      <c r="K13" s="109" t="s">
        <v>624</v>
      </c>
    </row>
    <row r="14" spans="2:11" ht="25.5" customHeight="1" x14ac:dyDescent="0.3">
      <c r="B14" s="92">
        <v>9</v>
      </c>
      <c r="C14" s="102" t="s">
        <v>346</v>
      </c>
      <c r="D14" s="103" t="s">
        <v>631</v>
      </c>
      <c r="E14" s="69" t="s">
        <v>632</v>
      </c>
      <c r="F14" s="92" t="s">
        <v>609</v>
      </c>
      <c r="G14" s="104">
        <f>IFERROR(IF(OR(FIN_FA_NET="",FIN_SEC_DEBT=""),"Pending Input",FIN_FA_NET/FIN_SEC_DEBT),"Pending Input")</f>
        <v>2.1742023743275833</v>
      </c>
      <c r="H14" s="104">
        <f>IFERROR(IF(ISNUMBER(G14),G14-1.33,"Pending Input"),"Pending Input")</f>
        <v>0.84420237432758327</v>
      </c>
      <c r="I14" s="40" t="str">
        <f>IF(NOT(ISNUMBER(G14)),"Pending Input",IF(H14&lt;0,"Breached (Red)",IF(H14&lt;0.133,"Near Breach (Amber)","Compliant (Green)")))</f>
        <v>Compliant (Green)</v>
      </c>
      <c r="J14" s="103" t="s">
        <v>623</v>
      </c>
      <c r="K14" s="105" t="s">
        <v>458</v>
      </c>
    </row>
    <row r="15" spans="2:11" ht="25.5" customHeight="1" x14ac:dyDescent="0.3">
      <c r="B15" s="95">
        <v>10</v>
      </c>
      <c r="C15" s="106" t="s">
        <v>346</v>
      </c>
      <c r="D15" s="107" t="s">
        <v>111</v>
      </c>
      <c r="E15" s="70" t="s">
        <v>633</v>
      </c>
      <c r="F15" s="95" t="s">
        <v>619</v>
      </c>
      <c r="G15" s="55" t="str">
        <f>IF(FIN_RATING="","Pending Input",FIN_RATING)</f>
        <v>CARE A+; Stable / A1</v>
      </c>
      <c r="H15" s="95" t="s">
        <v>228</v>
      </c>
      <c r="I15" s="55" t="str">
        <f>IF(FIN_RATING="","Pending Input",IF(OR(ISNUMBER(SEARCH("A+",FIN_RATING)),ISNUMBER(SEARCH("AA",FIN_RATING)),ISNUMBER(SEARCH("A-",FIN_RATING)),ISNUMBER(SEARCH("A ",FIN_RATING))),"Compliant (Green)","Breached (Red)"))</f>
        <v>Compliant (Green)</v>
      </c>
      <c r="J15" s="107" t="s">
        <v>620</v>
      </c>
      <c r="K15" s="109" t="s">
        <v>458</v>
      </c>
    </row>
    <row r="16" spans="2:11" ht="25.5" customHeight="1" x14ac:dyDescent="0.3">
      <c r="B16" s="92">
        <v>11</v>
      </c>
      <c r="C16" s="102" t="s">
        <v>369</v>
      </c>
      <c r="D16" s="103" t="s">
        <v>634</v>
      </c>
      <c r="E16" s="69" t="s">
        <v>635</v>
      </c>
      <c r="F16" s="92" t="s">
        <v>636</v>
      </c>
      <c r="G16" s="104">
        <f>IFERROR(IF(OR(FIN_TOTAL_DEBT="",FIN_EBITDA=""),"Pending Input",FIN_TOTAL_DEBT/FIN_EBITDA),"Pending Input")</f>
        <v>1.5965986040212523</v>
      </c>
      <c r="H16" s="104">
        <f>IFERROR(IF(ISNUMBER(G16),4-G16,"Pending Input"),"Pending Input")</f>
        <v>2.4034013959787477</v>
      </c>
      <c r="I16" s="40" t="str">
        <f>IF(NOT(ISNUMBER(G16)),"Pending Input",IF(H16&lt;0,"Breached (Red)",IF(H16&lt;0.4,"Near Breach (Amber)","Compliant (Green)")))</f>
        <v>Compliant (Green)</v>
      </c>
      <c r="J16" s="103" t="s">
        <v>637</v>
      </c>
      <c r="K16" s="105" t="s">
        <v>638</v>
      </c>
    </row>
    <row r="17" spans="2:11" ht="25.5" customHeight="1" x14ac:dyDescent="0.3">
      <c r="B17" s="95">
        <v>12</v>
      </c>
      <c r="C17" s="106" t="s">
        <v>369</v>
      </c>
      <c r="D17" s="107" t="s">
        <v>629</v>
      </c>
      <c r="E17" s="70" t="s">
        <v>630</v>
      </c>
      <c r="F17" s="95" t="s">
        <v>613</v>
      </c>
      <c r="G17" s="108">
        <f>IFERROR(IF(OR(FIN_TOTAL_DEBT="",FIN_ATNW=""),"Pending Input",FIN_TOTAL_DEBT/FIN_ATNW),"Pending Input")</f>
        <v>0.85053277096398239</v>
      </c>
      <c r="H17" s="108">
        <f>IFERROR(IF(ISNUMBER(G17),2-G17,"Pending Input"),"Pending Input")</f>
        <v>1.1494672290360177</v>
      </c>
      <c r="I17" s="55" t="str">
        <f>IF(NOT(ISNUMBER(G17)),"Pending Input",IF(H17&lt;0,"Breached (Red)",IF(H17&lt;0.2,"Near Breach (Amber)","Compliant (Green)")))</f>
        <v>Compliant (Green)</v>
      </c>
      <c r="J17" s="107" t="s">
        <v>637</v>
      </c>
      <c r="K17" s="109" t="s">
        <v>638</v>
      </c>
    </row>
    <row r="18" spans="2:11" ht="25.5" customHeight="1" x14ac:dyDescent="0.3">
      <c r="B18" s="92">
        <v>13</v>
      </c>
      <c r="C18" s="102" t="s">
        <v>369</v>
      </c>
      <c r="D18" s="103" t="s">
        <v>639</v>
      </c>
      <c r="E18" s="69" t="s">
        <v>640</v>
      </c>
      <c r="F18" s="92" t="s">
        <v>641</v>
      </c>
      <c r="G18" s="104">
        <f>IFERROR(IF(OR(FIN_EBITDA="",FIN_INT_EXP=""),"Pending Input",FIN_EBITDA/FIN_INT_EXP),"Pending Input")</f>
        <v>7.8231458842705788</v>
      </c>
      <c r="H18" s="104">
        <f>IFERROR(IF(ISNUMBER(G18),G18-3.5,"Pending Input"),"Pending Input")</f>
        <v>4.3231458842705788</v>
      </c>
      <c r="I18" s="40" t="str">
        <f>IF(NOT(ISNUMBER(G18)),"Pending Input",IF(H18&lt;0,"Breached (Red)",IF(H18&lt;0.35,"Near Breach (Amber)","Compliant (Green)")))</f>
        <v>Compliant (Green)</v>
      </c>
      <c r="J18" s="103" t="s">
        <v>637</v>
      </c>
      <c r="K18" s="105" t="s">
        <v>638</v>
      </c>
    </row>
    <row r="19" spans="2:11" ht="25.5" customHeight="1" x14ac:dyDescent="0.3">
      <c r="B19" s="95">
        <v>14</v>
      </c>
      <c r="C19" s="106" t="s">
        <v>369</v>
      </c>
      <c r="D19" s="107" t="s">
        <v>607</v>
      </c>
      <c r="E19" s="70" t="s">
        <v>622</v>
      </c>
      <c r="F19" s="95" t="s">
        <v>609</v>
      </c>
      <c r="G19" s="108">
        <f>IFERROR(IF(OR(FIN_EBITDA="",FIN_TAX_PAID="",FIN_INT_EXP="",FIN_SCHED_REPAY=""),"Pending Input",(FIN_EBITDA-FIN_TAX_PAID)/(FIN_SCHED_REPAY+FIN_INT_EXP)),"Pending Input")</f>
        <v>3.4889652877897301</v>
      </c>
      <c r="H19" s="108">
        <f>IFERROR(IF(ISNUMBER(G19),G19-1.2,"Pending Input"),"Pending Input")</f>
        <v>2.28896528778973</v>
      </c>
      <c r="I19" s="55" t="str">
        <f>IF(NOT(ISNUMBER(G19)),"Pending Input",IF(H19&lt;0,"Breached (Red)",IF(H19&lt;0.12,"Near Breach (Amber)","Compliant (Green)")))</f>
        <v>Compliant (Green)</v>
      </c>
      <c r="J19" s="107" t="s">
        <v>637</v>
      </c>
      <c r="K19" s="109" t="s">
        <v>1123</v>
      </c>
    </row>
    <row r="20" spans="2:11" ht="25.5" customHeight="1" x14ac:dyDescent="0.3">
      <c r="B20" s="92">
        <v>15</v>
      </c>
      <c r="C20" s="102" t="s">
        <v>369</v>
      </c>
      <c r="D20" s="103" t="s">
        <v>631</v>
      </c>
      <c r="E20" s="69" t="s">
        <v>608</v>
      </c>
      <c r="F20" s="92" t="s">
        <v>609</v>
      </c>
      <c r="G20" s="104">
        <f>IFERROR(IF(OR(FIN_FA_NET="",FIN_SEC_DEBT=""),"Pending Input",FIN_FA_NET/FIN_SEC_DEBT),"Pending Input")</f>
        <v>2.1742023743275833</v>
      </c>
      <c r="H20" s="104">
        <f>IFERROR(IF(ISNUMBER(G20),G20-1.25,"Pending Input"),"Pending Input")</f>
        <v>0.92420237432758334</v>
      </c>
      <c r="I20" s="40" t="str">
        <f>IF(NOT(ISNUMBER(G20)),"Pending Input",IF(H20&lt;0,"Breached (Red)",IF(H20&lt;0.125,"Near Breach (Amber)","Compliant (Green)")))</f>
        <v>Compliant (Green)</v>
      </c>
      <c r="J20" s="103" t="s">
        <v>620</v>
      </c>
      <c r="K20" s="105" t="s">
        <v>638</v>
      </c>
    </row>
    <row r="21" spans="2:11" ht="25.5" customHeight="1" x14ac:dyDescent="0.3">
      <c r="B21" s="95">
        <v>16</v>
      </c>
      <c r="C21" s="106" t="s">
        <v>376</v>
      </c>
      <c r="D21" s="107" t="s">
        <v>607</v>
      </c>
      <c r="E21" s="70" t="s">
        <v>608</v>
      </c>
      <c r="F21" s="95" t="s">
        <v>609</v>
      </c>
      <c r="G21" s="108">
        <f>IFERROR(IF(OR(FIN_EBITDA="",FIN_TAX_PAID="",FIN_INT_EXP="",FIN_SCHED_REPAY=""),"Pending Input",(FIN_EBITDA-FIN_TAX_PAID)/(FIN_SCHED_REPAY+FIN_INT_EXP)),"Pending Input")</f>
        <v>3.4889652877897301</v>
      </c>
      <c r="H21" s="108">
        <f>IFERROR(IF(ISNUMBER(G21),G21-1.25,"Pending Input"),"Pending Input")</f>
        <v>2.2389652877897301</v>
      </c>
      <c r="I21" s="55" t="str">
        <f>IF(NOT(ISNUMBER(G21)),"Pending Input",IF(H21&lt;0,"Breached (Red)",IF(H21&lt;0.125,"Near Breach (Amber)","Compliant (Green)")))</f>
        <v>Compliant (Green)</v>
      </c>
      <c r="J21" s="107" t="s">
        <v>614</v>
      </c>
      <c r="K21" s="109" t="s">
        <v>1124</v>
      </c>
    </row>
    <row r="22" spans="2:11" ht="25.5" customHeight="1" x14ac:dyDescent="0.3">
      <c r="B22" s="92">
        <v>17</v>
      </c>
      <c r="C22" s="102" t="s">
        <v>376</v>
      </c>
      <c r="D22" s="103" t="s">
        <v>634</v>
      </c>
      <c r="E22" s="69" t="s">
        <v>617</v>
      </c>
      <c r="F22" s="92" t="s">
        <v>613</v>
      </c>
      <c r="G22" s="104">
        <f>IFERROR(IF(OR(FIN_TOTAL_DEBT="",FIN_EBITDA=""),"Pending Input",FIN_TOTAL_DEBT/FIN_EBITDA),"Pending Input")</f>
        <v>1.5965986040212523</v>
      </c>
      <c r="H22" s="104">
        <f>IFERROR(IF(ISNUMBER(G22),3-G22,"Pending Input"),"Pending Input")</f>
        <v>1.4034013959787477</v>
      </c>
      <c r="I22" s="40" t="str">
        <f>IF(NOT(ISNUMBER(G22)),"Pending Input",IF(H22&lt;0,"Breached (Red)",IF(H22&lt;0.3,"Near Breach (Amber)","Compliant (Green)")))</f>
        <v>Compliant (Green)</v>
      </c>
      <c r="J22" s="103" t="s">
        <v>614</v>
      </c>
      <c r="K22" s="105" t="s">
        <v>462</v>
      </c>
    </row>
    <row r="23" spans="2:11" ht="25.5" customHeight="1" x14ac:dyDescent="0.3">
      <c r="B23" s="95">
        <v>18</v>
      </c>
      <c r="C23" s="106" t="s">
        <v>376</v>
      </c>
      <c r="D23" s="107" t="s">
        <v>642</v>
      </c>
      <c r="E23" s="70" t="s">
        <v>612</v>
      </c>
      <c r="F23" s="95" t="s">
        <v>613</v>
      </c>
      <c r="G23" s="108">
        <f>IFERROR(IF(OR(FIN_TOL="",FIN_ATNW=""),"Pending Input",FIN_TOL/FIN_ATNW),"Pending Input")</f>
        <v>1.5865059104278818</v>
      </c>
      <c r="H23" s="108">
        <f>IFERROR(IF(ISNUMBER(G23),2.5-G23,"Pending Input"),"Pending Input")</f>
        <v>0.9134940895721182</v>
      </c>
      <c r="I23" s="55" t="str">
        <f>IF(NOT(ISNUMBER(G23)),"Pending Input",IF(H23&lt;0,"Breached (Red)",IF(H23&lt;0.25,"Near Breach (Amber)","Compliant (Green)")))</f>
        <v>Compliant (Green)</v>
      </c>
      <c r="J23" s="107" t="s">
        <v>614</v>
      </c>
      <c r="K23" s="109" t="s">
        <v>462</v>
      </c>
    </row>
    <row r="24" spans="2:11" ht="25.5" customHeight="1" x14ac:dyDescent="0.3">
      <c r="B24" s="92">
        <v>19</v>
      </c>
      <c r="C24" s="102" t="s">
        <v>376</v>
      </c>
      <c r="D24" s="103" t="s">
        <v>643</v>
      </c>
      <c r="E24" s="69" t="s">
        <v>644</v>
      </c>
      <c r="F24" s="92" t="s">
        <v>613</v>
      </c>
      <c r="G24" s="104">
        <f>IFERROR(IF(OR(FIN_TOL="",FIN_ATNW=""),"Pending Input",FIN_TOL/FIN_ATNW),"Pending Input")</f>
        <v>1.5865059104278818</v>
      </c>
      <c r="H24" s="104">
        <f>IFERROR(IF(ISNUMBER(G24),2.1-G24,"Pending Input"),"Pending Input")</f>
        <v>0.51349408957211828</v>
      </c>
      <c r="I24" s="40" t="str">
        <f>IF(NOT(ISNUMBER(G24)),"Pending Input",IF(H24&lt;0,"Breached (Red)",IF(H24&lt;0.21,"Near Breach (Amber)","Compliant (Green)")))</f>
        <v>Compliant (Green)</v>
      </c>
      <c r="J24" s="103" t="s">
        <v>614</v>
      </c>
      <c r="K24" s="105" t="s">
        <v>462</v>
      </c>
    </row>
    <row r="25" spans="2:11" ht="25.5" customHeight="1" x14ac:dyDescent="0.3">
      <c r="B25" s="95">
        <v>20</v>
      </c>
      <c r="C25" s="106" t="s">
        <v>376</v>
      </c>
      <c r="D25" s="107" t="s">
        <v>645</v>
      </c>
      <c r="E25" s="70" t="s">
        <v>630</v>
      </c>
      <c r="F25" s="95" t="s">
        <v>613</v>
      </c>
      <c r="G25" s="108">
        <f>IFERROR(IF(OR(FIN_TOL="",FIN_ATNW=""),"Pending Input",FIN_TOL/FIN_ATNW),"Pending Input")</f>
        <v>1.5865059104278818</v>
      </c>
      <c r="H25" s="108">
        <f>IFERROR(IF(ISNUMBER(G25),2-G25,"Pending Input"),"Pending Input")</f>
        <v>0.4134940895721182</v>
      </c>
      <c r="I25" s="55" t="str">
        <f>IF(NOT(ISNUMBER(G25)),"Pending Input",IF(H25&lt;0,"Breached (Red)",IF(H25&lt;0.2,"Near Breach (Amber)","Compliant (Green)")))</f>
        <v>Compliant (Green)</v>
      </c>
      <c r="J25" s="107" t="s">
        <v>614</v>
      </c>
      <c r="K25" s="109" t="s">
        <v>462</v>
      </c>
    </row>
    <row r="26" spans="2:11" ht="25.5" customHeight="1" x14ac:dyDescent="0.3">
      <c r="B26" s="92">
        <v>21</v>
      </c>
      <c r="C26" s="102" t="s">
        <v>398</v>
      </c>
      <c r="D26" s="103" t="s">
        <v>616</v>
      </c>
      <c r="E26" s="69" t="s">
        <v>646</v>
      </c>
      <c r="F26" s="92" t="s">
        <v>636</v>
      </c>
      <c r="G26" s="104">
        <f>IFERROR(IF(OR(FIN_TOL="",FIN_TNW=""),"Pending Input",FIN_TOL/FIN_TNW),"Pending Input")</f>
        <v>1.5449853404131706</v>
      </c>
      <c r="H26" s="104">
        <f>IFERROR(IF(ISNUMBER(G26),3-G26,"Pending Input"),"Pending Input")</f>
        <v>1.4550146595868294</v>
      </c>
      <c r="I26" s="40" t="str">
        <f>IF(NOT(ISNUMBER(G26)),"Pending Input",IF(H26&lt;0,"Breached (Red)",IF(H26&lt;0.3,"Near Breach (Amber)","Compliant (Green)")))</f>
        <v>Compliant (Green)</v>
      </c>
      <c r="J26" s="103" t="s">
        <v>647</v>
      </c>
      <c r="K26" s="105" t="s">
        <v>467</v>
      </c>
    </row>
    <row r="27" spans="2:11" ht="25.5" customHeight="1" x14ac:dyDescent="0.3">
      <c r="B27" s="95">
        <v>22</v>
      </c>
      <c r="C27" s="106" t="s">
        <v>398</v>
      </c>
      <c r="D27" s="107" t="s">
        <v>648</v>
      </c>
      <c r="E27" s="70" t="s">
        <v>649</v>
      </c>
      <c r="F27" s="95" t="s">
        <v>636</v>
      </c>
      <c r="G27" s="108">
        <f>IFERROR(IF(OR(FIN_TOTAL_DEBT="",FIN_TNW=""),"Pending Input",FIN_TOTAL_DEBT/FIN_TNW),"Pending Input")</f>
        <v>0.82827341142772215</v>
      </c>
      <c r="H27" s="108">
        <f>IFERROR(IF(ISNUMBER(G27),2-G27,"Pending Input"),"Pending Input")</f>
        <v>1.1717265885722778</v>
      </c>
      <c r="I27" s="55" t="str">
        <f>IF(NOT(ISNUMBER(G27)),"Pending Input",IF(H27&lt;0,"Breached (Red)",IF(H27&lt;0.2,"Near Breach (Amber)","Compliant (Green)")))</f>
        <v>Compliant (Green)</v>
      </c>
      <c r="J27" s="107" t="s">
        <v>647</v>
      </c>
      <c r="K27" s="109" t="s">
        <v>467</v>
      </c>
    </row>
    <row r="28" spans="2:11" ht="75" customHeight="1" x14ac:dyDescent="0.3">
      <c r="B28" s="92">
        <v>23</v>
      </c>
      <c r="C28" s="102" t="s">
        <v>398</v>
      </c>
      <c r="D28" s="103" t="s">
        <v>650</v>
      </c>
      <c r="E28" s="69" t="s">
        <v>632</v>
      </c>
      <c r="F28" s="92" t="s">
        <v>609</v>
      </c>
      <c r="G28" s="104">
        <f>IFERROR(IF(OR(FIN_CA="",FIN_CL=""),"Pending Input",FIN_CA/FIN_CL),"Pending Input")</f>
        <v>1.3858918115237064</v>
      </c>
      <c r="H28" s="104">
        <f>IFERROR(IF(ISNUMBER(G28),G28-1.33,"Pending Input"),"Pending Input")</f>
        <v>5.589181152370637E-2</v>
      </c>
      <c r="I28" s="40" t="str">
        <f>IF(NOT(ISNUMBER(G28)),"Pending Input",IF(H28&lt;0,"Breached (Red)",IF(H28&lt;0.133,"Near Breach (Amber)","Compliant (Green)")))</f>
        <v>Near Breach (Amber)</v>
      </c>
      <c r="J28" s="110" t="s">
        <v>651</v>
      </c>
      <c r="K28" s="105" t="s">
        <v>467</v>
      </c>
    </row>
    <row r="29" spans="2:11" ht="25.5" customHeight="1" x14ac:dyDescent="0.3">
      <c r="B29" s="95">
        <v>24</v>
      </c>
      <c r="C29" s="106" t="s">
        <v>398</v>
      </c>
      <c r="D29" s="107" t="s">
        <v>639</v>
      </c>
      <c r="E29" s="70" t="s">
        <v>652</v>
      </c>
      <c r="F29" s="95" t="s">
        <v>609</v>
      </c>
      <c r="G29" s="108">
        <f>IFERROR(IF(OR(FIN_EBITDA="",FIN_INT_EXP=""),"Pending Input",FIN_EBITDA/FIN_INT_EXP),"Pending Input")</f>
        <v>7.8231458842705788</v>
      </c>
      <c r="H29" s="108">
        <f>IFERROR(IF(ISNUMBER(G29),G29-3,"Pending Input"),"Pending Input")</f>
        <v>4.8231458842705788</v>
      </c>
      <c r="I29" s="55" t="str">
        <f>IF(NOT(ISNUMBER(G29)),"Pending Input",IF(H29&lt;0,"Breached (Red)",IF(H29&lt;0.3,"Near Breach (Amber)","Compliant (Green)")))</f>
        <v>Compliant (Green)</v>
      </c>
      <c r="J29" s="107" t="s">
        <v>647</v>
      </c>
      <c r="K29" s="109" t="s">
        <v>467</v>
      </c>
    </row>
    <row r="32" spans="2:11" ht="21.75" customHeight="1" x14ac:dyDescent="0.3">
      <c r="B32" s="312" t="s">
        <v>653</v>
      </c>
      <c r="C32" s="312"/>
      <c r="D32" s="312"/>
      <c r="E32" s="312"/>
      <c r="F32" s="312"/>
      <c r="G32" s="312"/>
      <c r="H32" s="312"/>
      <c r="I32" s="312"/>
      <c r="J32" s="312"/>
      <c r="K32" s="312"/>
    </row>
    <row r="33" spans="2:11" ht="21.75" customHeight="1" x14ac:dyDescent="0.3">
      <c r="B33" s="316" t="s">
        <v>654</v>
      </c>
      <c r="C33" s="316"/>
      <c r="D33" s="316"/>
      <c r="E33" s="316"/>
      <c r="F33" s="316"/>
      <c r="G33" s="321">
        <f>COUNTA(D6:D29)</f>
        <v>24</v>
      </c>
      <c r="H33" s="321"/>
      <c r="I33" s="321"/>
      <c r="J33" s="321"/>
      <c r="K33" s="321"/>
    </row>
    <row r="34" spans="2:11" ht="21.75" customHeight="1" x14ac:dyDescent="0.3">
      <c r="B34" s="316" t="s">
        <v>655</v>
      </c>
      <c r="C34" s="316"/>
      <c r="D34" s="316"/>
      <c r="E34" s="316"/>
      <c r="F34" s="316"/>
      <c r="G34" s="321">
        <f>COUNTIF(I6:I29,"*Compliant*")</f>
        <v>23</v>
      </c>
      <c r="H34" s="321"/>
      <c r="I34" s="321"/>
      <c r="J34" s="321"/>
      <c r="K34" s="321"/>
    </row>
    <row r="35" spans="2:11" ht="21.75" customHeight="1" x14ac:dyDescent="0.3">
      <c r="B35" s="316" t="s">
        <v>656</v>
      </c>
      <c r="C35" s="316"/>
      <c r="D35" s="316"/>
      <c r="E35" s="316"/>
      <c r="F35" s="316"/>
      <c r="G35" s="321">
        <f>COUNTIF(I6:I29,"*Near Breach*")</f>
        <v>1</v>
      </c>
      <c r="H35" s="321"/>
      <c r="I35" s="321"/>
      <c r="J35" s="321"/>
      <c r="K35" s="321"/>
    </row>
    <row r="36" spans="2:11" ht="21.75" customHeight="1" x14ac:dyDescent="0.3">
      <c r="B36" s="316" t="s">
        <v>657</v>
      </c>
      <c r="C36" s="316"/>
      <c r="D36" s="316"/>
      <c r="E36" s="316"/>
      <c r="F36" s="316"/>
      <c r="G36" s="321">
        <f>COUNTIF(I6:I29,"*Breached*")</f>
        <v>0</v>
      </c>
      <c r="H36" s="321"/>
      <c r="I36" s="321"/>
      <c r="J36" s="321"/>
      <c r="K36" s="321"/>
    </row>
    <row r="37" spans="2:11" ht="21.75" customHeight="1" x14ac:dyDescent="0.3">
      <c r="B37" s="316" t="s">
        <v>658</v>
      </c>
      <c r="C37" s="316"/>
      <c r="D37" s="316"/>
      <c r="E37" s="316"/>
      <c r="F37" s="316"/>
      <c r="G37" s="321">
        <f>COUNTIF(I6:I29,"*Pending*")+COUNTIF(I6:I29,"*Refer*")</f>
        <v>0</v>
      </c>
      <c r="H37" s="321"/>
      <c r="I37" s="321"/>
      <c r="J37" s="321"/>
      <c r="K37" s="321"/>
    </row>
  </sheetData>
  <mergeCells count="13">
    <mergeCell ref="B37:F37"/>
    <mergeCell ref="G37:K37"/>
    <mergeCell ref="B34:F34"/>
    <mergeCell ref="G34:K34"/>
    <mergeCell ref="B35:F35"/>
    <mergeCell ref="G35:K35"/>
    <mergeCell ref="B36:F36"/>
    <mergeCell ref="G36:K36"/>
    <mergeCell ref="B2:K2"/>
    <mergeCell ref="B3:K3"/>
    <mergeCell ref="B32:K32"/>
    <mergeCell ref="B33:F33"/>
    <mergeCell ref="G33:K33"/>
  </mergeCells>
  <conditionalFormatting sqref="I6:I29">
    <cfRule type="expression" dxfId="20" priority="2">
      <formula>ISNUMBER(SEARCH("Breached",I6))</formula>
    </cfRule>
    <cfRule type="expression" dxfId="19" priority="3">
      <formula>ISNUMBER(SEARCH("Near Breach",I6))</formula>
    </cfRule>
    <cfRule type="expression" dxfId="18" priority="4">
      <formula>ISNUMBER(SEARCH("Compliant",I6))</formula>
    </cfRule>
    <cfRule type="expression" dxfId="17" priority="5">
      <formula>ISNUMBER(SEARCH("Pending",I6))</formula>
    </cfRule>
  </conditionalFormatting>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9D18E"/>
  </sheetPr>
  <dimension ref="B2:J21"/>
  <sheetViews>
    <sheetView showGridLines="0" zoomScaleNormal="100" workbookViewId="0">
      <pane xSplit="3" ySplit="5" topLeftCell="D6" activePane="bottomRight" state="frozen"/>
      <selection pane="topRight" activeCell="D1" sqref="D1"/>
      <selection pane="bottomLeft" activeCell="A6" sqref="A6"/>
      <selection pane="bottomRight"/>
    </sheetView>
  </sheetViews>
  <sheetFormatPr defaultColWidth="8.6640625" defaultRowHeight="14.4" x14ac:dyDescent="0.3"/>
  <cols>
    <col min="1" max="1" width="3" customWidth="1"/>
    <col min="2" max="2" width="5" customWidth="1"/>
    <col min="3" max="3" width="18" customWidth="1"/>
    <col min="4" max="4" width="22" customWidth="1"/>
    <col min="5" max="5" width="28" customWidth="1"/>
    <col min="6" max="6" width="26" customWidth="1"/>
    <col min="7" max="8" width="20" customWidth="1"/>
    <col min="9" max="9" width="18" customWidth="1"/>
    <col min="10" max="10" width="24" customWidth="1"/>
  </cols>
  <sheetData>
    <row r="2" spans="2:10" ht="36" customHeight="1" x14ac:dyDescent="0.3">
      <c r="B2" s="300" t="s">
        <v>659</v>
      </c>
      <c r="C2" s="300"/>
      <c r="D2" s="300"/>
      <c r="E2" s="300"/>
      <c r="F2" s="300"/>
      <c r="G2" s="300"/>
      <c r="H2" s="300"/>
      <c r="I2" s="300"/>
      <c r="J2" s="300"/>
    </row>
    <row r="3" spans="2:10" ht="27.75" customHeight="1" x14ac:dyDescent="0.3">
      <c r="B3" s="311" t="s">
        <v>660</v>
      </c>
      <c r="C3" s="311"/>
      <c r="D3" s="311"/>
      <c r="E3" s="311"/>
      <c r="F3" s="311"/>
      <c r="G3" s="311"/>
      <c r="H3" s="311"/>
      <c r="I3" s="311"/>
      <c r="J3" s="311"/>
    </row>
    <row r="4" spans="2:10" s="126" customFormat="1" ht="7.95" customHeight="1" x14ac:dyDescent="0.3"/>
    <row r="5" spans="2:10" ht="39.75" customHeight="1" x14ac:dyDescent="0.3">
      <c r="B5" s="9" t="s">
        <v>422</v>
      </c>
      <c r="C5" s="9" t="s">
        <v>217</v>
      </c>
      <c r="D5" s="9" t="s">
        <v>661</v>
      </c>
      <c r="E5" s="9" t="s">
        <v>662</v>
      </c>
      <c r="F5" s="9" t="s">
        <v>663</v>
      </c>
      <c r="G5" s="9" t="s">
        <v>664</v>
      </c>
      <c r="H5" s="9" t="s">
        <v>665</v>
      </c>
      <c r="I5" s="9" t="s">
        <v>666</v>
      </c>
      <c r="J5" s="9" t="s">
        <v>259</v>
      </c>
    </row>
    <row r="6" spans="2:10" ht="61.5" customHeight="1" x14ac:dyDescent="0.3">
      <c r="B6" s="99">
        <v>1</v>
      </c>
      <c r="C6" s="111" t="s">
        <v>260</v>
      </c>
      <c r="D6" s="43" t="s">
        <v>667</v>
      </c>
      <c r="E6" s="43" t="s">
        <v>668</v>
      </c>
      <c r="F6" s="43" t="s">
        <v>669</v>
      </c>
      <c r="G6" s="43" t="s">
        <v>670</v>
      </c>
      <c r="H6" s="43" t="s">
        <v>12</v>
      </c>
      <c r="I6" s="43" t="s">
        <v>671</v>
      </c>
      <c r="J6" s="43" t="s">
        <v>672</v>
      </c>
    </row>
    <row r="7" spans="2:10" ht="61.5" customHeight="1" x14ac:dyDescent="0.3">
      <c r="B7" s="101">
        <v>2</v>
      </c>
      <c r="C7" s="112" t="s">
        <v>346</v>
      </c>
      <c r="D7" s="58" t="s">
        <v>673</v>
      </c>
      <c r="E7" s="58" t="s">
        <v>674</v>
      </c>
      <c r="F7" s="58" t="s">
        <v>675</v>
      </c>
      <c r="G7" s="58" t="s">
        <v>676</v>
      </c>
      <c r="H7" s="58" t="s">
        <v>12</v>
      </c>
      <c r="I7" s="58" t="s">
        <v>677</v>
      </c>
      <c r="J7" s="58" t="s">
        <v>678</v>
      </c>
    </row>
    <row r="8" spans="2:10" ht="61.5" customHeight="1" x14ac:dyDescent="0.3">
      <c r="B8" s="99">
        <v>3</v>
      </c>
      <c r="C8" s="111" t="s">
        <v>369</v>
      </c>
      <c r="D8" s="43" t="s">
        <v>679</v>
      </c>
      <c r="E8" s="43" t="s">
        <v>680</v>
      </c>
      <c r="F8" s="43" t="s">
        <v>681</v>
      </c>
      <c r="G8" s="43" t="s">
        <v>682</v>
      </c>
      <c r="H8" s="43" t="s">
        <v>12</v>
      </c>
      <c r="I8" s="43" t="s">
        <v>683</v>
      </c>
      <c r="J8" s="43" t="s">
        <v>684</v>
      </c>
    </row>
    <row r="9" spans="2:10" ht="61.5" customHeight="1" x14ac:dyDescent="0.3">
      <c r="B9" s="101">
        <v>4</v>
      </c>
      <c r="C9" s="112" t="s">
        <v>376</v>
      </c>
      <c r="D9" s="58" t="s">
        <v>685</v>
      </c>
      <c r="E9" s="58" t="s">
        <v>686</v>
      </c>
      <c r="F9" s="58" t="s">
        <v>687</v>
      </c>
      <c r="G9" s="58" t="s">
        <v>688</v>
      </c>
      <c r="H9" s="58" t="s">
        <v>12</v>
      </c>
      <c r="I9" s="58" t="s">
        <v>689</v>
      </c>
      <c r="J9" s="58" t="s">
        <v>690</v>
      </c>
    </row>
    <row r="10" spans="2:10" ht="61.5" customHeight="1" x14ac:dyDescent="0.3">
      <c r="B10" s="99">
        <v>5</v>
      </c>
      <c r="C10" s="111" t="s">
        <v>398</v>
      </c>
      <c r="D10" s="43" t="s">
        <v>685</v>
      </c>
      <c r="E10" s="43" t="s">
        <v>691</v>
      </c>
      <c r="F10" s="43" t="s">
        <v>687</v>
      </c>
      <c r="G10" s="43" t="s">
        <v>688</v>
      </c>
      <c r="H10" s="43" t="s">
        <v>12</v>
      </c>
      <c r="I10" s="43" t="s">
        <v>689</v>
      </c>
      <c r="J10" s="43" t="s">
        <v>692</v>
      </c>
    </row>
    <row r="13" spans="2:10" ht="21.75" customHeight="1" x14ac:dyDescent="0.3">
      <c r="B13" s="315" t="s">
        <v>693</v>
      </c>
      <c r="C13" s="315"/>
      <c r="D13" s="315"/>
      <c r="E13" s="315"/>
      <c r="F13" s="315"/>
      <c r="G13" s="315"/>
      <c r="H13" s="315"/>
      <c r="I13" s="315"/>
      <c r="J13" s="315"/>
    </row>
    <row r="14" spans="2:10" ht="24" customHeight="1" x14ac:dyDescent="0.3">
      <c r="B14" s="316" t="s">
        <v>694</v>
      </c>
      <c r="C14" s="316"/>
      <c r="D14" s="314" t="s">
        <v>695</v>
      </c>
      <c r="E14" s="314"/>
      <c r="F14" s="314"/>
      <c r="G14" s="314"/>
      <c r="H14" s="314"/>
      <c r="I14" s="314"/>
      <c r="J14" s="314"/>
    </row>
    <row r="15" spans="2:10" ht="24" customHeight="1" x14ac:dyDescent="0.3">
      <c r="B15" s="316" t="s">
        <v>696</v>
      </c>
      <c r="C15" s="316"/>
      <c r="D15" s="314" t="s">
        <v>697</v>
      </c>
      <c r="E15" s="314"/>
      <c r="F15" s="314"/>
      <c r="G15" s="314"/>
      <c r="H15" s="314"/>
      <c r="I15" s="314"/>
      <c r="J15" s="314"/>
    </row>
    <row r="16" spans="2:10" ht="24" customHeight="1" x14ac:dyDescent="0.3">
      <c r="B16" s="316" t="s">
        <v>698</v>
      </c>
      <c r="C16" s="316"/>
      <c r="D16" s="314" t="s">
        <v>699</v>
      </c>
      <c r="E16" s="314"/>
      <c r="F16" s="314"/>
      <c r="G16" s="314"/>
      <c r="H16" s="314"/>
      <c r="I16" s="314"/>
      <c r="J16" s="314"/>
    </row>
    <row r="17" spans="2:10" ht="24" customHeight="1" x14ac:dyDescent="0.3">
      <c r="B17" s="316" t="s">
        <v>700</v>
      </c>
      <c r="C17" s="316"/>
      <c r="D17" s="314" t="s">
        <v>701</v>
      </c>
      <c r="E17" s="314"/>
      <c r="F17" s="314"/>
      <c r="G17" s="314"/>
      <c r="H17" s="314"/>
      <c r="I17" s="314"/>
      <c r="J17" s="314"/>
    </row>
    <row r="18" spans="2:10" ht="24" customHeight="1" x14ac:dyDescent="0.3">
      <c r="B18" s="316" t="s">
        <v>702</v>
      </c>
      <c r="C18" s="316"/>
      <c r="D18" s="314" t="s">
        <v>703</v>
      </c>
      <c r="E18" s="314"/>
      <c r="F18" s="314"/>
      <c r="G18" s="314"/>
      <c r="H18" s="314"/>
      <c r="I18" s="314"/>
      <c r="J18" s="314"/>
    </row>
    <row r="19" spans="2:10" ht="24" customHeight="1" x14ac:dyDescent="0.3">
      <c r="B19" s="316" t="s">
        <v>704</v>
      </c>
      <c r="C19" s="316"/>
      <c r="D19" s="314" t="s">
        <v>705</v>
      </c>
      <c r="E19" s="314"/>
      <c r="F19" s="314"/>
      <c r="G19" s="314"/>
      <c r="H19" s="314"/>
      <c r="I19" s="314"/>
      <c r="J19" s="314"/>
    </row>
    <row r="20" spans="2:10" ht="24" customHeight="1" x14ac:dyDescent="0.3">
      <c r="B20" s="316" t="s">
        <v>706</v>
      </c>
      <c r="C20" s="316"/>
      <c r="D20" s="314" t="s">
        <v>707</v>
      </c>
      <c r="E20" s="314"/>
      <c r="F20" s="314"/>
      <c r="G20" s="314"/>
      <c r="H20" s="314"/>
      <c r="I20" s="314"/>
      <c r="J20" s="314"/>
    </row>
    <row r="21" spans="2:10" ht="24" customHeight="1" x14ac:dyDescent="0.3">
      <c r="B21" s="316" t="s">
        <v>708</v>
      </c>
      <c r="C21" s="316"/>
      <c r="D21" s="314" t="s">
        <v>709</v>
      </c>
      <c r="E21" s="314"/>
      <c r="F21" s="314"/>
      <c r="G21" s="314"/>
      <c r="H21" s="314"/>
      <c r="I21" s="314"/>
      <c r="J21" s="314"/>
    </row>
  </sheetData>
  <mergeCells count="19">
    <mergeCell ref="B21:C21"/>
    <mergeCell ref="D21:J21"/>
    <mergeCell ref="B18:C18"/>
    <mergeCell ref="D18:J18"/>
    <mergeCell ref="B19:C19"/>
    <mergeCell ref="D19:J19"/>
    <mergeCell ref="B20:C20"/>
    <mergeCell ref="D20:J20"/>
    <mergeCell ref="B15:C15"/>
    <mergeCell ref="D15:J15"/>
    <mergeCell ref="B16:C16"/>
    <mergeCell ref="D16:J16"/>
    <mergeCell ref="B17:C17"/>
    <mergeCell ref="D17:J17"/>
    <mergeCell ref="B2:J2"/>
    <mergeCell ref="B3:J3"/>
    <mergeCell ref="B13:J13"/>
    <mergeCell ref="B14:C14"/>
    <mergeCell ref="D14:J14"/>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B2:L40"/>
  <sheetViews>
    <sheetView showGridLines="0" zoomScaleNormal="100" workbookViewId="0">
      <pane xSplit="4" ySplit="5" topLeftCell="E6" activePane="bottomRight" state="frozen"/>
      <selection pane="topRight" activeCell="E1" sqref="E1"/>
      <selection pane="bottomLeft" activeCell="A6" sqref="A6"/>
      <selection pane="bottomRight" activeCell="H6" sqref="H6"/>
    </sheetView>
  </sheetViews>
  <sheetFormatPr defaultColWidth="8.6640625" defaultRowHeight="14.4" x14ac:dyDescent="0.3"/>
  <cols>
    <col min="1" max="1" width="3" customWidth="1"/>
    <col min="2" max="2" width="4" customWidth="1"/>
    <col min="3" max="3" width="16" customWidth="1"/>
    <col min="4" max="4" width="30" customWidth="1"/>
    <col min="5" max="8" width="14" customWidth="1"/>
    <col min="9" max="10" width="12" customWidth="1"/>
    <col min="11" max="11" width="28" customWidth="1"/>
  </cols>
  <sheetData>
    <row r="2" spans="2:12" ht="36" customHeight="1" x14ac:dyDescent="0.3">
      <c r="B2" s="300" t="s">
        <v>710</v>
      </c>
      <c r="C2" s="300"/>
      <c r="D2" s="300"/>
      <c r="E2" s="300"/>
      <c r="F2" s="300"/>
      <c r="G2" s="300"/>
      <c r="H2" s="300"/>
      <c r="I2" s="300"/>
      <c r="J2" s="300"/>
      <c r="K2" s="300"/>
      <c r="L2" s="2"/>
    </row>
    <row r="3" spans="2:12" ht="27.75" customHeight="1" x14ac:dyDescent="0.3">
      <c r="B3" s="311" t="s">
        <v>711</v>
      </c>
      <c r="C3" s="311"/>
      <c r="D3" s="311"/>
      <c r="E3" s="311"/>
      <c r="F3" s="311"/>
      <c r="G3" s="311"/>
      <c r="H3" s="311"/>
      <c r="I3" s="311"/>
      <c r="J3" s="311"/>
      <c r="K3" s="311"/>
      <c r="L3" s="1"/>
    </row>
    <row r="4" spans="2:12" s="126" customFormat="1" ht="7.95" customHeight="1" x14ac:dyDescent="0.3"/>
    <row r="5" spans="2:12" ht="39.75" customHeight="1" x14ac:dyDescent="0.3">
      <c r="B5" s="9" t="s">
        <v>422</v>
      </c>
      <c r="C5" s="9" t="s">
        <v>217</v>
      </c>
      <c r="D5" s="9" t="s">
        <v>218</v>
      </c>
      <c r="E5" s="9" t="s">
        <v>219</v>
      </c>
      <c r="F5" s="9" t="s">
        <v>471</v>
      </c>
      <c r="G5" s="9" t="s">
        <v>495</v>
      </c>
      <c r="H5" s="9" t="s">
        <v>473</v>
      </c>
      <c r="I5" s="9" t="s">
        <v>242</v>
      </c>
      <c r="J5" s="9" t="s">
        <v>0</v>
      </c>
      <c r="K5" s="9" t="s">
        <v>712</v>
      </c>
      <c r="L5" s="9" t="s">
        <v>259</v>
      </c>
    </row>
    <row r="6" spans="2:12" ht="21.75" customHeight="1" x14ac:dyDescent="0.3">
      <c r="B6" s="99">
        <v>1</v>
      </c>
      <c r="C6" s="83" t="str">
        <f>'Facility Master'!C5</f>
        <v>RBL Bank</v>
      </c>
      <c r="D6" s="84" t="str">
        <f>'Facility Master'!D5</f>
        <v>Letter of Credit - Main Limit</v>
      </c>
      <c r="E6" s="36" t="str">
        <f>IFERROR('Facility Master'!E5,0)</f>
        <v>NFB</v>
      </c>
      <c r="F6" s="76">
        <f>IFERROR('Facility Master'!J5,0)</f>
        <v>100</v>
      </c>
      <c r="G6" s="76">
        <f>IFERROR('Facility Master'!L5,0)</f>
        <v>100</v>
      </c>
      <c r="H6" s="76">
        <f>IFERROR('Facility Master'!N5,0)</f>
        <v>0</v>
      </c>
      <c r="I6" s="85">
        <f>IFERROR('Facility Master'!M5,0)</f>
        <v>1</v>
      </c>
      <c r="J6" s="40" t="str">
        <f t="shared" ref="J6:J39" si="0">IF(I6=0,"Unutilised",IF(I6&gt;0.9,"High (&gt;90%)",IF(I6&gt;0.75,"Elevated (75-90%)","Normal")))</f>
        <v>High (&gt;90%)</v>
      </c>
      <c r="K6" s="49" t="str">
        <f>IF('Facility Master'!AA5="","",IF(ISNUMBER('Facility Master'!AA5),IF('Facility Master'!AA5-AsOfDate&lt;=30,"Expiring (&lt;=30D)",IF('Facility Master'!AA5-AsOfDate&lt;=60,"Due Soon (&lt;=60D)","OK")),"-"))</f>
        <v>OK</v>
      </c>
    </row>
    <row r="7" spans="2:12" ht="21.75" customHeight="1" x14ac:dyDescent="0.3">
      <c r="B7" s="101">
        <v>2</v>
      </c>
      <c r="C7" s="83" t="str">
        <f>'Facility Master'!C6</f>
        <v>RBL Bank</v>
      </c>
      <c r="D7" s="84" t="str">
        <f>'Facility Master'!D6</f>
        <v>Bank Guarantee</v>
      </c>
      <c r="E7" s="36" t="str">
        <f>IFERROR('Facility Master'!E6,0)</f>
        <v>NFB</v>
      </c>
      <c r="F7" s="76">
        <f>IFERROR('Facility Master'!J6,0)</f>
        <v>25</v>
      </c>
      <c r="G7" s="76">
        <f>IFERROR('Facility Master'!L6,0)</f>
        <v>25</v>
      </c>
      <c r="H7" s="76">
        <f>IFERROR('Facility Master'!N6,0)</f>
        <v>0</v>
      </c>
      <c r="I7" s="85">
        <f>IFERROR('Facility Master'!M6,0)</f>
        <v>1</v>
      </c>
      <c r="J7" s="55" t="str">
        <f t="shared" si="0"/>
        <v>High (&gt;90%)</v>
      </c>
      <c r="K7" s="63" t="str">
        <f>IF('Facility Master'!AA6="","",IF(ISNUMBER('Facility Master'!AA6),IF('Facility Master'!AA6-AsOfDate&lt;=30,"Expiring (&lt;=30D)",IF('Facility Master'!AA6-AsOfDate&lt;=60,"Due Soon (&lt;=60D)","OK")),"-"))</f>
        <v>OK</v>
      </c>
    </row>
    <row r="8" spans="2:12" ht="21.75" customHeight="1" x14ac:dyDescent="0.3">
      <c r="B8" s="99">
        <v>3</v>
      </c>
      <c r="C8" s="83" t="str">
        <f>'Facility Master'!C7</f>
        <v>RBL Bank</v>
      </c>
      <c r="D8" s="84" t="str">
        <f>'Facility Master'!D7</f>
        <v>Invoice Discounting (PID)</v>
      </c>
      <c r="E8" s="36" t="str">
        <f>IFERROR('Facility Master'!E7,0)</f>
        <v>FB</v>
      </c>
      <c r="F8" s="76">
        <f>IFERROR('Facility Master'!J7,0)</f>
        <v>100</v>
      </c>
      <c r="G8" s="76">
        <f>IFERROR('Facility Master'!L7,0)</f>
        <v>100</v>
      </c>
      <c r="H8" s="76">
        <f>IFERROR('Facility Master'!N7,0)</f>
        <v>0</v>
      </c>
      <c r="I8" s="85">
        <f>IFERROR('Facility Master'!M7,0)</f>
        <v>1</v>
      </c>
      <c r="J8" s="40" t="str">
        <f t="shared" si="0"/>
        <v>High (&gt;90%)</v>
      </c>
      <c r="K8" s="49" t="str">
        <f>IF('Facility Master'!AA7="","",IF(ISNUMBER('Facility Master'!AA7),IF('Facility Master'!AA7-AsOfDate&lt;=30,"Expiring (&lt;=30D)",IF('Facility Master'!AA7-AsOfDate&lt;=60,"Due Soon (&lt;=60D)","OK")),"-"))</f>
        <v>OK</v>
      </c>
    </row>
    <row r="9" spans="2:12" ht="21.75" customHeight="1" x14ac:dyDescent="0.3">
      <c r="B9" s="101">
        <v>4</v>
      </c>
      <c r="C9" s="83" t="str">
        <f>'Facility Master'!C8</f>
        <v>RBL Bank</v>
      </c>
      <c r="D9" s="84" t="str">
        <f>'Facility Master'!D8</f>
        <v>SBLC</v>
      </c>
      <c r="E9" s="36" t="str">
        <f>IFERROR('Facility Master'!E8,0)</f>
        <v>NFB</v>
      </c>
      <c r="F9" s="76">
        <f>IFERROR('Facility Master'!J8,0)</f>
        <v>100</v>
      </c>
      <c r="G9" s="76">
        <f>IFERROR('Facility Master'!L8,0)</f>
        <v>100</v>
      </c>
      <c r="H9" s="76">
        <f>IFERROR('Facility Master'!N8,0)</f>
        <v>0</v>
      </c>
      <c r="I9" s="85">
        <f>IFERROR('Facility Master'!M8,0)</f>
        <v>1</v>
      </c>
      <c r="J9" s="55" t="str">
        <f t="shared" si="0"/>
        <v>High (&gt;90%)</v>
      </c>
      <c r="K9" s="63" t="str">
        <f>IF('Facility Master'!AA8="","",IF(ISNUMBER('Facility Master'!AA8),IF('Facility Master'!AA8-AsOfDate&lt;=30,"Expiring (&lt;=30D)",IF('Facility Master'!AA8-AsOfDate&lt;=60,"Due Soon (&lt;=60D)","OK")),"-"))</f>
        <v>OK</v>
      </c>
    </row>
    <row r="10" spans="2:12" ht="21.75" customHeight="1" x14ac:dyDescent="0.3">
      <c r="B10" s="99">
        <v>5</v>
      </c>
      <c r="C10" s="83" t="str">
        <f>'Facility Master'!C9</f>
        <v>RBL Bank</v>
      </c>
      <c r="D10" s="84" t="str">
        <f>'Facility Master'!D9</f>
        <v>Pre-Acceptance LCBD</v>
      </c>
      <c r="E10" s="36" t="str">
        <f>IFERROR('Facility Master'!E9,0)</f>
        <v>FB</v>
      </c>
      <c r="F10" s="76">
        <f>IFERROR('Facility Master'!J9,0)</f>
        <v>100</v>
      </c>
      <c r="G10" s="76">
        <f>IFERROR('Facility Master'!L9,0)</f>
        <v>100</v>
      </c>
      <c r="H10" s="76">
        <f>IFERROR('Facility Master'!N9,0)</f>
        <v>0</v>
      </c>
      <c r="I10" s="85">
        <f>IFERROR('Facility Master'!M9,0)</f>
        <v>1</v>
      </c>
      <c r="J10" s="40" t="str">
        <f t="shared" si="0"/>
        <v>High (&gt;90%)</v>
      </c>
      <c r="K10" s="49" t="str">
        <f>IF('Facility Master'!AA9="","",IF(ISNUMBER('Facility Master'!AA9),IF('Facility Master'!AA9-AsOfDate&lt;=30,"Expiring (&lt;=30D)",IF('Facility Master'!AA9-AsOfDate&lt;=60,"Due Soon (&lt;=60D)","OK")),"-"))</f>
        <v>OK</v>
      </c>
    </row>
    <row r="11" spans="2:12" ht="21.75" customHeight="1" x14ac:dyDescent="0.3">
      <c r="B11" s="101">
        <v>6</v>
      </c>
      <c r="C11" s="83" t="str">
        <f>'Facility Master'!C10</f>
        <v>RBL Bank</v>
      </c>
      <c r="D11" s="84" t="str">
        <f>'Facility Master'!D10</f>
        <v>Cash Credit</v>
      </c>
      <c r="E11" s="36" t="str">
        <f>IFERROR('Facility Master'!E10,0)</f>
        <v>FB</v>
      </c>
      <c r="F11" s="76">
        <f>IFERROR('Facility Master'!J10,0)</f>
        <v>100</v>
      </c>
      <c r="G11" s="76">
        <f>IFERROR('Facility Master'!L10,0)</f>
        <v>100</v>
      </c>
      <c r="H11" s="76">
        <f>IFERROR('Facility Master'!N10,0)</f>
        <v>0</v>
      </c>
      <c r="I11" s="85">
        <f>IFERROR('Facility Master'!M10,0)</f>
        <v>1</v>
      </c>
      <c r="J11" s="55" t="str">
        <f t="shared" si="0"/>
        <v>High (&gt;90%)</v>
      </c>
      <c r="K11" s="63" t="str">
        <f>IF('Facility Master'!AA10="","",IF(ISNUMBER('Facility Master'!AA10),IF('Facility Master'!AA10-AsOfDate&lt;=30,"Expiring (&lt;=30D)",IF('Facility Master'!AA10-AsOfDate&lt;=60,"Due Soon (&lt;=60D)","OK")),"-"))</f>
        <v>OK</v>
      </c>
    </row>
    <row r="12" spans="2:12" ht="21.75" customHeight="1" x14ac:dyDescent="0.3">
      <c r="B12" s="99">
        <v>7</v>
      </c>
      <c r="C12" s="83" t="str">
        <f>'Facility Master'!C11</f>
        <v>RBL Bank</v>
      </c>
      <c r="D12" s="84" t="str">
        <f>'Facility Master'!D11</f>
        <v>Working Capital Demand Loan (WCDL)</v>
      </c>
      <c r="E12" s="36" t="str">
        <f>IFERROR('Facility Master'!E11,0)</f>
        <v>FB</v>
      </c>
      <c r="F12" s="76">
        <f>IFERROR('Facility Master'!J11,0)</f>
        <v>100</v>
      </c>
      <c r="G12" s="76">
        <f>IFERROR('Facility Master'!L11,0)</f>
        <v>100</v>
      </c>
      <c r="H12" s="76">
        <f>IFERROR('Facility Master'!N11,0)</f>
        <v>0</v>
      </c>
      <c r="I12" s="85">
        <f>IFERROR('Facility Master'!M11,0)</f>
        <v>1</v>
      </c>
      <c r="J12" s="40" t="str">
        <f t="shared" si="0"/>
        <v>High (&gt;90%)</v>
      </c>
      <c r="K12" s="49" t="str">
        <f>IF('Facility Master'!AA11="","",IF(ISNUMBER('Facility Master'!AA11),IF('Facility Master'!AA11-AsOfDate&lt;=30,"Expiring (&lt;=30D)",IF('Facility Master'!AA11-AsOfDate&lt;=60,"Due Soon (&lt;=60D)","OK")),"-"))</f>
        <v>OK</v>
      </c>
    </row>
    <row r="13" spans="2:12" ht="21.75" customHeight="1" x14ac:dyDescent="0.3">
      <c r="B13" s="101">
        <v>8</v>
      </c>
      <c r="C13" s="83" t="str">
        <f>'Facility Master'!C12</f>
        <v>RBL Bank</v>
      </c>
      <c r="D13" s="84" t="str">
        <f>'Facility Master'!D12</f>
        <v>Loan Equivalent Risk (LER)</v>
      </c>
      <c r="E13" s="36" t="str">
        <f>IFERROR('Facility Master'!E12,0)</f>
        <v>Hedge</v>
      </c>
      <c r="F13" s="76">
        <f>IFERROR('Facility Master'!J12,0)</f>
        <v>20</v>
      </c>
      <c r="G13" s="76">
        <f>IFERROR('Facility Master'!L12,0)</f>
        <v>20</v>
      </c>
      <c r="H13" s="76">
        <f>IFERROR('Facility Master'!N12,0)</f>
        <v>0</v>
      </c>
      <c r="I13" s="85">
        <f>IFERROR('Facility Master'!M12,0)</f>
        <v>1</v>
      </c>
      <c r="J13" s="55" t="str">
        <f t="shared" si="0"/>
        <v>High (&gt;90%)</v>
      </c>
      <c r="K13" s="63" t="str">
        <f>IF('Facility Master'!AA12="","",IF(ISNUMBER('Facility Master'!AA12),IF('Facility Master'!AA12-AsOfDate&lt;=30,"Expiring (&lt;=30D)",IF('Facility Master'!AA12-AsOfDate&lt;=60,"Due Soon (&lt;=60D)","OK")),"-"))</f>
        <v>OK</v>
      </c>
    </row>
    <row r="14" spans="2:12" ht="21.75" customHeight="1" x14ac:dyDescent="0.3">
      <c r="B14" s="99">
        <v>9</v>
      </c>
      <c r="C14" s="83" t="str">
        <f>'Facility Master'!C13</f>
        <v>RBL Bank</v>
      </c>
      <c r="D14" s="84" t="str">
        <f>'Facility Master'!D13</f>
        <v>Term Loan - Main Limit</v>
      </c>
      <c r="E14" s="36" t="str">
        <f>IFERROR('Facility Master'!E13,0)</f>
        <v>FB-Term</v>
      </c>
      <c r="F14" s="76">
        <f>IFERROR('Facility Master'!J13,0)</f>
        <v>200</v>
      </c>
      <c r="G14" s="76">
        <f>IFERROR('Facility Master'!L13,0)</f>
        <v>200</v>
      </c>
      <c r="H14" s="76">
        <f>IFERROR('Facility Master'!N13,0)</f>
        <v>0</v>
      </c>
      <c r="I14" s="85">
        <f>IFERROR('Facility Master'!M13,0)</f>
        <v>1</v>
      </c>
      <c r="J14" s="40" t="str">
        <f t="shared" si="0"/>
        <v>High (&gt;90%)</v>
      </c>
      <c r="K14" s="49" t="str">
        <f>IF('Facility Master'!AA13="","",IF(ISNUMBER('Facility Master'!AA13),IF('Facility Master'!AA13-AsOfDate&lt;=30,"Expiring (&lt;=30D)",IF('Facility Master'!AA13-AsOfDate&lt;=60,"Due Soon (&lt;=60D)","OK")),"-"))</f>
        <v>OK</v>
      </c>
    </row>
    <row r="15" spans="2:12" ht="21.75" customHeight="1" x14ac:dyDescent="0.3">
      <c r="B15" s="101">
        <v>10</v>
      </c>
      <c r="C15" s="83" t="str">
        <f>'Facility Master'!C14</f>
        <v>RBL Bank</v>
      </c>
      <c r="D15" s="84" t="str">
        <f>'Facility Master'!D14</f>
        <v>SBLC for Buyer's Credit (GIFT City)</v>
      </c>
      <c r="E15" s="36" t="str">
        <f>IFERROR('Facility Master'!E14,0)</f>
        <v>NFB</v>
      </c>
      <c r="F15" s="76">
        <f>IFERROR('Facility Master'!J14,0)</f>
        <v>190</v>
      </c>
      <c r="G15" s="76">
        <f>IFERROR('Facility Master'!L14,0)</f>
        <v>190</v>
      </c>
      <c r="H15" s="76">
        <f>IFERROR('Facility Master'!N14,0)</f>
        <v>0</v>
      </c>
      <c r="I15" s="85">
        <f>IFERROR('Facility Master'!M14,0)</f>
        <v>1</v>
      </c>
      <c r="J15" s="55" t="str">
        <f t="shared" si="0"/>
        <v>High (&gt;90%)</v>
      </c>
      <c r="K15" s="63" t="str">
        <f>IF('Facility Master'!AA14="","",IF(ISNUMBER('Facility Master'!AA14),IF('Facility Master'!AA14-AsOfDate&lt;=30,"Expiring (&lt;=30D)",IF('Facility Master'!AA14-AsOfDate&lt;=60,"Due Soon (&lt;=60D)","OK")),"-"))</f>
        <v>OK</v>
      </c>
    </row>
    <row r="16" spans="2:12" ht="21.75" customHeight="1" x14ac:dyDescent="0.3">
      <c r="B16" s="99">
        <v>11</v>
      </c>
      <c r="C16" s="83" t="str">
        <f>'Facility Master'!C15</f>
        <v>RBL Bank</v>
      </c>
      <c r="D16" s="84" t="str">
        <f>'Facility Master'!D15</f>
        <v>Capex LC</v>
      </c>
      <c r="E16" s="36" t="str">
        <f>IFERROR('Facility Master'!E15,0)</f>
        <v>NFB</v>
      </c>
      <c r="F16" s="76">
        <f>IFERROR('Facility Master'!J15,0)</f>
        <v>25</v>
      </c>
      <c r="G16" s="76">
        <f>IFERROR('Facility Master'!L15,0)</f>
        <v>25</v>
      </c>
      <c r="H16" s="76">
        <f>IFERROR('Facility Master'!N15,0)</f>
        <v>0</v>
      </c>
      <c r="I16" s="85">
        <f>IFERROR('Facility Master'!M15,0)</f>
        <v>1</v>
      </c>
      <c r="J16" s="40" t="str">
        <f t="shared" si="0"/>
        <v>High (&gt;90%)</v>
      </c>
      <c r="K16" s="49" t="str">
        <f>IF('Facility Master'!AA15="","",IF(ISNUMBER('Facility Master'!AA15),IF('Facility Master'!AA15-AsOfDate&lt;=30,"Expiring (&lt;=30D)",IF('Facility Master'!AA15-AsOfDate&lt;=60,"Due Soon (&lt;=60D)","OK")),"-"))</f>
        <v>OK</v>
      </c>
    </row>
    <row r="17" spans="2:11" ht="21.75" customHeight="1" x14ac:dyDescent="0.3">
      <c r="B17" s="101">
        <v>12</v>
      </c>
      <c r="C17" s="83" t="str">
        <f>'Facility Master'!C16</f>
        <v>RBL Bank</v>
      </c>
      <c r="D17" s="84" t="str">
        <f>'Facility Master'!D16</f>
        <v>Overdraft backed by 100% FD (FDOD)</v>
      </c>
      <c r="E17" s="36" t="str">
        <f>IFERROR('Facility Master'!E16,0)</f>
        <v>FB-FDbacked</v>
      </c>
      <c r="F17" s="76">
        <f>IFERROR('Facility Master'!J16,0)</f>
        <v>100</v>
      </c>
      <c r="G17" s="76">
        <f>IFERROR('Facility Master'!L16,0)</f>
        <v>100</v>
      </c>
      <c r="H17" s="76">
        <f>IFERROR('Facility Master'!N16,0)</f>
        <v>0</v>
      </c>
      <c r="I17" s="85">
        <f>IFERROR('Facility Master'!M16,0)</f>
        <v>1</v>
      </c>
      <c r="J17" s="55" t="str">
        <f t="shared" si="0"/>
        <v>High (&gt;90%)</v>
      </c>
      <c r="K17" s="63" t="str">
        <f>IF('Facility Master'!AA16="","",IF(ISNUMBER('Facility Master'!AA16),IF('Facility Master'!AA16-AsOfDate&lt;=30,"Expiring (&lt;=30D)",IF('Facility Master'!AA16-AsOfDate&lt;=60,"Due Soon (&lt;=60D)","OK")),"-"))</f>
        <v>OK</v>
      </c>
    </row>
    <row r="18" spans="2:11" ht="21.75" customHeight="1" x14ac:dyDescent="0.3">
      <c r="B18" s="99">
        <v>13</v>
      </c>
      <c r="C18" s="83" t="str">
        <f>'Facility Master'!C17</f>
        <v>RBL Bank</v>
      </c>
      <c r="D18" s="84" t="str">
        <f>'Facility Master'!D17</f>
        <v>LC backed by 100% FD</v>
      </c>
      <c r="E18" s="36" t="str">
        <f>IFERROR('Facility Master'!E17,0)</f>
        <v>NFB-FDbacked</v>
      </c>
      <c r="F18" s="76">
        <f>IFERROR('Facility Master'!J17,0)</f>
        <v>50</v>
      </c>
      <c r="G18" s="76">
        <f>IFERROR('Facility Master'!L17,0)</f>
        <v>50</v>
      </c>
      <c r="H18" s="76">
        <f>IFERROR('Facility Master'!N17,0)</f>
        <v>0</v>
      </c>
      <c r="I18" s="85">
        <f>IFERROR('Facility Master'!M17,0)</f>
        <v>1</v>
      </c>
      <c r="J18" s="40" t="str">
        <f t="shared" si="0"/>
        <v>High (&gt;90%)</v>
      </c>
      <c r="K18" s="49" t="str">
        <f>IF('Facility Master'!AA17="","",IF(ISNUMBER('Facility Master'!AA17),IF('Facility Master'!AA17-AsOfDate&lt;=30,"Expiring (&lt;=30D)",IF('Facility Master'!AA17-AsOfDate&lt;=60,"Due Soon (&lt;=60D)","OK")),"-"))</f>
        <v>OK</v>
      </c>
    </row>
    <row r="19" spans="2:11" ht="21.75" customHeight="1" x14ac:dyDescent="0.3">
      <c r="B19" s="101">
        <v>14</v>
      </c>
      <c r="C19" s="83" t="str">
        <f>'Facility Master'!C18</f>
        <v>RBL Bank</v>
      </c>
      <c r="D19" s="84" t="str">
        <f>'Facility Master'!D18</f>
        <v>Buyer's Credit from GIFT City - WC</v>
      </c>
      <c r="E19" s="36" t="str">
        <f>IFERROR('Facility Master'!E18,0)</f>
        <v>FB-FCY</v>
      </c>
      <c r="F19" s="76">
        <f>IFERROR('Facility Master'!J18,0)</f>
        <v>100</v>
      </c>
      <c r="G19" s="76">
        <f>IFERROR('Facility Master'!L18,0)</f>
        <v>100</v>
      </c>
      <c r="H19" s="76">
        <f>IFERROR('Facility Master'!N18,0)</f>
        <v>0</v>
      </c>
      <c r="I19" s="85">
        <f>IFERROR('Facility Master'!M18,0)</f>
        <v>1</v>
      </c>
      <c r="J19" s="55" t="str">
        <f t="shared" si="0"/>
        <v>High (&gt;90%)</v>
      </c>
      <c r="K19" s="63" t="str">
        <f>IF('Facility Master'!AA18="","",IF(ISNUMBER('Facility Master'!AA18),IF('Facility Master'!AA18-AsOfDate&lt;=30,"Expiring (&lt;=30D)",IF('Facility Master'!AA18-AsOfDate&lt;=60,"Due Soon (&lt;=60D)","OK")),"-"))</f>
        <v>OK</v>
      </c>
    </row>
    <row r="20" spans="2:11" ht="21.75" customHeight="1" x14ac:dyDescent="0.3">
      <c r="B20" s="99">
        <v>15</v>
      </c>
      <c r="C20" s="83" t="str">
        <f>'Facility Master'!C19</f>
        <v>RBL Bank</v>
      </c>
      <c r="D20" s="84" t="str">
        <f>'Facility Master'!D19</f>
        <v>Buyer's Credit from GIFT City - CAPEX</v>
      </c>
      <c r="E20" s="36" t="str">
        <f>IFERROR('Facility Master'!E19,0)</f>
        <v>FB-FCY</v>
      </c>
      <c r="F20" s="76">
        <f>IFERROR('Facility Master'!J19,0)</f>
        <v>172</v>
      </c>
      <c r="G20" s="76">
        <f>IFERROR('Facility Master'!L19,0)</f>
        <v>172</v>
      </c>
      <c r="H20" s="76">
        <f>IFERROR('Facility Master'!N19,0)</f>
        <v>0</v>
      </c>
      <c r="I20" s="85">
        <f>IFERROR('Facility Master'!M19,0)</f>
        <v>1</v>
      </c>
      <c r="J20" s="40" t="str">
        <f t="shared" si="0"/>
        <v>High (&gt;90%)</v>
      </c>
      <c r="K20" s="49" t="str">
        <f>IF('Facility Master'!AA19="","",IF(ISNUMBER('Facility Master'!AA19),IF('Facility Master'!AA19-AsOfDate&lt;=30,"Expiring (&lt;=30D)",IF('Facility Master'!AA19-AsOfDate&lt;=60,"Due Soon (&lt;=60D)","OK")),"-"))</f>
        <v>OK</v>
      </c>
    </row>
    <row r="21" spans="2:11" ht="21.75" customHeight="1" x14ac:dyDescent="0.3">
      <c r="B21" s="101">
        <v>16</v>
      </c>
      <c r="C21" s="83" t="str">
        <f>'Facility Master'!C20</f>
        <v>YES Bank</v>
      </c>
      <c r="D21" s="84" t="str">
        <f>'Facility Master'!D20</f>
        <v>Purchase Invoice Financing</v>
      </c>
      <c r="E21" s="36" t="str">
        <f>IFERROR('Facility Master'!E20,0)</f>
        <v>FB</v>
      </c>
      <c r="F21" s="76">
        <f>IFERROR('Facility Master'!J20,0)</f>
        <v>100</v>
      </c>
      <c r="G21" s="76">
        <f>IFERROR('Facility Master'!L20,0)</f>
        <v>100</v>
      </c>
      <c r="H21" s="76">
        <f>IFERROR('Facility Master'!N20,0)</f>
        <v>0</v>
      </c>
      <c r="I21" s="85">
        <f>IFERROR('Facility Master'!M20,0)</f>
        <v>1</v>
      </c>
      <c r="J21" s="55" t="str">
        <f t="shared" si="0"/>
        <v>High (&gt;90%)</v>
      </c>
      <c r="K21" s="63" t="str">
        <f>IF('Facility Master'!AA20="","",IF(ISNUMBER('Facility Master'!AA20),IF('Facility Master'!AA20-AsOfDate&lt;=30,"Expiring (&lt;=30D)",IF('Facility Master'!AA20-AsOfDate&lt;=60,"Due Soon (&lt;=60D)","OK")),"-"))</f>
        <v>Expiring (&lt;=30D)</v>
      </c>
    </row>
    <row r="22" spans="2:11" ht="21.75" customHeight="1" x14ac:dyDescent="0.3">
      <c r="B22" s="99">
        <v>17</v>
      </c>
      <c r="C22" s="83" t="str">
        <f>'Facility Master'!C21</f>
        <v>YES Bank</v>
      </c>
      <c r="D22" s="84" t="str">
        <f>'Facility Master'!D21</f>
        <v>Cash Credit</v>
      </c>
      <c r="E22" s="36" t="str">
        <f>IFERROR('Facility Master'!E21,0)</f>
        <v>FB</v>
      </c>
      <c r="F22" s="76">
        <f>IFERROR('Facility Master'!J21,0)</f>
        <v>25</v>
      </c>
      <c r="G22" s="76">
        <f>IFERROR('Facility Master'!L21,0)</f>
        <v>25</v>
      </c>
      <c r="H22" s="76">
        <f>IFERROR('Facility Master'!N21,0)</f>
        <v>0</v>
      </c>
      <c r="I22" s="85">
        <f>IFERROR('Facility Master'!M21,0)</f>
        <v>1</v>
      </c>
      <c r="J22" s="40" t="str">
        <f t="shared" si="0"/>
        <v>High (&gt;90%)</v>
      </c>
      <c r="K22" s="49" t="str">
        <f>IF('Facility Master'!AA21="","",IF(ISNUMBER('Facility Master'!AA21),IF('Facility Master'!AA21-AsOfDate&lt;=30,"Expiring (&lt;=30D)",IF('Facility Master'!AA21-AsOfDate&lt;=60,"Due Soon (&lt;=60D)","OK")),"-"))</f>
        <v>-</v>
      </c>
    </row>
    <row r="23" spans="2:11" ht="21.75" customHeight="1" x14ac:dyDescent="0.3">
      <c r="B23" s="101">
        <v>18</v>
      </c>
      <c r="C23" s="83" t="str">
        <f>'Facility Master'!C22</f>
        <v>YES Bank</v>
      </c>
      <c r="D23" s="84" t="str">
        <f>'Facility Master'!D22</f>
        <v>Letter of Credit</v>
      </c>
      <c r="E23" s="36" t="str">
        <f>IFERROR('Facility Master'!E22,0)</f>
        <v>NFB</v>
      </c>
      <c r="F23" s="76">
        <f>IFERROR('Facility Master'!J22,0)</f>
        <v>200</v>
      </c>
      <c r="G23" s="76">
        <f>IFERROR('Facility Master'!L22,0)</f>
        <v>200</v>
      </c>
      <c r="H23" s="76">
        <f>IFERROR('Facility Master'!N22,0)</f>
        <v>0</v>
      </c>
      <c r="I23" s="85">
        <f>IFERROR('Facility Master'!M22,0)</f>
        <v>1</v>
      </c>
      <c r="J23" s="55" t="str">
        <f t="shared" si="0"/>
        <v>High (&gt;90%)</v>
      </c>
      <c r="K23" s="63" t="str">
        <f>IF('Facility Master'!AA22="","",IF(ISNUMBER('Facility Master'!AA22),IF('Facility Master'!AA22-AsOfDate&lt;=30,"Expiring (&lt;=30D)",IF('Facility Master'!AA22-AsOfDate&lt;=60,"Due Soon (&lt;=60D)","OK")),"-"))</f>
        <v>OK</v>
      </c>
    </row>
    <row r="24" spans="2:11" ht="21.75" customHeight="1" x14ac:dyDescent="0.3">
      <c r="B24" s="99">
        <v>19</v>
      </c>
      <c r="C24" s="83" t="str">
        <f>'Facility Master'!C23</f>
        <v>YES Bank</v>
      </c>
      <c r="D24" s="84" t="str">
        <f>'Facility Master'!D23</f>
        <v>Financial BG / SBLC</v>
      </c>
      <c r="E24" s="36" t="str">
        <f>IFERROR('Facility Master'!E23,0)</f>
        <v>NFB</v>
      </c>
      <c r="F24" s="76">
        <f>IFERROR('Facility Master'!J23,0)</f>
        <v>200</v>
      </c>
      <c r="G24" s="76">
        <f>IFERROR('Facility Master'!L23,0)</f>
        <v>200</v>
      </c>
      <c r="H24" s="76">
        <f>IFERROR('Facility Master'!N23,0)</f>
        <v>0</v>
      </c>
      <c r="I24" s="85">
        <f>IFERROR('Facility Master'!M23,0)</f>
        <v>1</v>
      </c>
      <c r="J24" s="40" t="str">
        <f t="shared" si="0"/>
        <v>High (&gt;90%)</v>
      </c>
      <c r="K24" s="49" t="str">
        <f>IF('Facility Master'!AA23="","",IF(ISNUMBER('Facility Master'!AA23),IF('Facility Master'!AA23-AsOfDate&lt;=30,"Expiring (&lt;=30D)",IF('Facility Master'!AA23-AsOfDate&lt;=60,"Due Soon (&lt;=60D)","OK")),"-"))</f>
        <v>-</v>
      </c>
    </row>
    <row r="25" spans="2:11" ht="21.75" customHeight="1" x14ac:dyDescent="0.3">
      <c r="B25" s="101">
        <v>20</v>
      </c>
      <c r="C25" s="83" t="str">
        <f>'Facility Master'!C24</f>
        <v>YES Bank</v>
      </c>
      <c r="D25" s="84" t="str">
        <f>'Facility Master'!D24</f>
        <v>Working Capital Demand Loan (WCDL)</v>
      </c>
      <c r="E25" s="36" t="str">
        <f>IFERROR('Facility Master'!E24,0)</f>
        <v>FB</v>
      </c>
      <c r="F25" s="76">
        <f>IFERROR('Facility Master'!J24,0)</f>
        <v>50</v>
      </c>
      <c r="G25" s="76">
        <f>IFERROR('Facility Master'!L24,0)</f>
        <v>50</v>
      </c>
      <c r="H25" s="76">
        <f>IFERROR('Facility Master'!N24,0)</f>
        <v>0</v>
      </c>
      <c r="I25" s="85">
        <f>IFERROR('Facility Master'!M24,0)</f>
        <v>1</v>
      </c>
      <c r="J25" s="55" t="str">
        <f t="shared" si="0"/>
        <v>High (&gt;90%)</v>
      </c>
      <c r="K25" s="63" t="str">
        <f>IF('Facility Master'!AA24="","",IF(ISNUMBER('Facility Master'!AA24),IF('Facility Master'!AA24-AsOfDate&lt;=30,"Expiring (&lt;=30D)",IF('Facility Master'!AA24-AsOfDate&lt;=60,"Due Soon (&lt;=60D)","OK")),"-"))</f>
        <v>-</v>
      </c>
    </row>
    <row r="26" spans="2:11" ht="21.75" customHeight="1" x14ac:dyDescent="0.3">
      <c r="B26" s="99">
        <v>21</v>
      </c>
      <c r="C26" s="83" t="str">
        <f>'Facility Master'!C25</f>
        <v>YES Bank</v>
      </c>
      <c r="D26" s="84" t="str">
        <f>'Facility Master'!D25</f>
        <v>Term Loan (Refinance Canara)</v>
      </c>
      <c r="E26" s="36" t="str">
        <f>IFERROR('Facility Master'!E25,0)</f>
        <v>FB-Term</v>
      </c>
      <c r="F26" s="76">
        <f>IFERROR('Facility Master'!J25,0)</f>
        <v>320.7</v>
      </c>
      <c r="G26" s="76">
        <f>IFERROR('Facility Master'!L25,0)</f>
        <v>320.7</v>
      </c>
      <c r="H26" s="76">
        <f>IFERROR('Facility Master'!N25,0)</f>
        <v>0</v>
      </c>
      <c r="I26" s="85">
        <f>IFERROR('Facility Master'!M25,0)</f>
        <v>1</v>
      </c>
      <c r="J26" s="40" t="str">
        <f t="shared" si="0"/>
        <v>High (&gt;90%)</v>
      </c>
      <c r="K26" s="49" t="str">
        <f>IF('Facility Master'!AA25="","",IF(ISNUMBER('Facility Master'!AA25),IF('Facility Master'!AA25-AsOfDate&lt;=30,"Expiring (&lt;=30D)",IF('Facility Master'!AA25-AsOfDate&lt;=60,"Due Soon (&lt;=60D)","OK")),"-"))</f>
        <v>OK</v>
      </c>
    </row>
    <row r="27" spans="2:11" ht="21.75" customHeight="1" x14ac:dyDescent="0.3">
      <c r="B27" s="101">
        <v>22</v>
      </c>
      <c r="C27" s="83" t="str">
        <f>'Facility Master'!C26</f>
        <v>Bajaj Finance</v>
      </c>
      <c r="D27" s="84" t="str">
        <f>'Facility Master'!D26</f>
        <v>Term Loan</v>
      </c>
      <c r="E27" s="36" t="str">
        <f>IFERROR('Facility Master'!E26,0)</f>
        <v>FB-Term</v>
      </c>
      <c r="F27" s="76">
        <f>IFERROR('Facility Master'!J26,0)</f>
        <v>150</v>
      </c>
      <c r="G27" s="76">
        <f>IFERROR('Facility Master'!L26,0)</f>
        <v>150</v>
      </c>
      <c r="H27" s="76">
        <f>IFERROR('Facility Master'!N26,0)</f>
        <v>0</v>
      </c>
      <c r="I27" s="85">
        <f>IFERROR('Facility Master'!M26,0)</f>
        <v>1</v>
      </c>
      <c r="J27" s="55" t="str">
        <f t="shared" si="0"/>
        <v>High (&gt;90%)</v>
      </c>
      <c r="K27" s="63" t="str">
        <f>IF('Facility Master'!AA26="","",IF(ISNUMBER('Facility Master'!AA26),IF('Facility Master'!AA26-AsOfDate&lt;=30,"Expiring (&lt;=30D)",IF('Facility Master'!AA26-AsOfDate&lt;=60,"Due Soon (&lt;=60D)","OK")),"-"))</f>
        <v>OK</v>
      </c>
    </row>
    <row r="28" spans="2:11" ht="21.75" customHeight="1" x14ac:dyDescent="0.3">
      <c r="B28" s="99">
        <v>23</v>
      </c>
      <c r="C28" s="83" t="str">
        <f>'Facility Master'!C27</f>
        <v>ICICI Bank</v>
      </c>
      <c r="D28" s="84" t="str">
        <f>'Facility Master'!D27</f>
        <v>Cash Credit</v>
      </c>
      <c r="E28" s="36" t="str">
        <f>IFERROR('Facility Master'!E27,0)</f>
        <v>FB</v>
      </c>
      <c r="F28" s="76">
        <f>IFERROR('Facility Master'!J27,0)</f>
        <v>50</v>
      </c>
      <c r="G28" s="76">
        <f>IFERROR('Facility Master'!L27,0)</f>
        <v>50</v>
      </c>
      <c r="H28" s="76">
        <f>IFERROR('Facility Master'!N27,0)</f>
        <v>0</v>
      </c>
      <c r="I28" s="85">
        <f>IFERROR('Facility Master'!M27,0)</f>
        <v>1</v>
      </c>
      <c r="J28" s="40" t="str">
        <f t="shared" si="0"/>
        <v>High (&gt;90%)</v>
      </c>
      <c r="K28" s="49" t="str">
        <f>IF('Facility Master'!AA27="","",IF(ISNUMBER('Facility Master'!AA27),IF('Facility Master'!AA27-AsOfDate&lt;=30,"Expiring (&lt;=30D)",IF('Facility Master'!AA27-AsOfDate&lt;=60,"Due Soon (&lt;=60D)","OK")),"-"))</f>
        <v>OK</v>
      </c>
    </row>
    <row r="29" spans="2:11" ht="21.75" customHeight="1" x14ac:dyDescent="0.3">
      <c r="B29" s="101">
        <v>24</v>
      </c>
      <c r="C29" s="83" t="str">
        <f>'Facility Master'!C28</f>
        <v>ICICI Bank</v>
      </c>
      <c r="D29" s="84" t="str">
        <f>'Facility Master'!D28</f>
        <v>Working Capital Demand Loan (WCDL)</v>
      </c>
      <c r="E29" s="36" t="str">
        <f>IFERROR('Facility Master'!E28,0)</f>
        <v>FB</v>
      </c>
      <c r="F29" s="76">
        <f>IFERROR('Facility Master'!J28,0)</f>
        <v>50</v>
      </c>
      <c r="G29" s="76">
        <f>IFERROR('Facility Master'!L28,0)</f>
        <v>50</v>
      </c>
      <c r="H29" s="76">
        <f>IFERROR('Facility Master'!N28,0)</f>
        <v>0</v>
      </c>
      <c r="I29" s="85">
        <f>IFERROR('Facility Master'!M28,0)</f>
        <v>1</v>
      </c>
      <c r="J29" s="55" t="str">
        <f t="shared" si="0"/>
        <v>High (&gt;90%)</v>
      </c>
      <c r="K29" s="63" t="str">
        <f>IF('Facility Master'!AA28="","",IF(ISNUMBER('Facility Master'!AA28),IF('Facility Master'!AA28-AsOfDate&lt;=30,"Expiring (&lt;=30D)",IF('Facility Master'!AA28-AsOfDate&lt;=60,"Due Soon (&lt;=60D)","OK")),"-"))</f>
        <v>OK</v>
      </c>
    </row>
    <row r="30" spans="2:11" ht="21.75" customHeight="1" x14ac:dyDescent="0.3">
      <c r="B30" s="99">
        <v>25</v>
      </c>
      <c r="C30" s="83" t="str">
        <f>'Facility Master'!C29</f>
        <v>ICICI Bank</v>
      </c>
      <c r="D30" s="84" t="str">
        <f>'Facility Master'!D29</f>
        <v>Letter of Credit (Inland/Foreign)</v>
      </c>
      <c r="E30" s="36" t="str">
        <f>IFERROR('Facility Master'!E29,0)</f>
        <v>NFB</v>
      </c>
      <c r="F30" s="76">
        <f>IFERROR('Facility Master'!J29,0)</f>
        <v>150</v>
      </c>
      <c r="G30" s="76">
        <f>IFERROR('Facility Master'!L29,0)</f>
        <v>150</v>
      </c>
      <c r="H30" s="76">
        <f>IFERROR('Facility Master'!N29,0)</f>
        <v>0</v>
      </c>
      <c r="I30" s="85">
        <f>IFERROR('Facility Master'!M29,0)</f>
        <v>1</v>
      </c>
      <c r="J30" s="40" t="str">
        <f t="shared" si="0"/>
        <v>High (&gt;90%)</v>
      </c>
      <c r="K30" s="49" t="str">
        <f>IF('Facility Master'!AA29="","",IF(ISNUMBER('Facility Master'!AA29),IF('Facility Master'!AA29-AsOfDate&lt;=30,"Expiring (&lt;=30D)",IF('Facility Master'!AA29-AsOfDate&lt;=60,"Due Soon (&lt;=60D)","OK")),"-"))</f>
        <v>OK</v>
      </c>
    </row>
    <row r="31" spans="2:11" ht="21.75" customHeight="1" x14ac:dyDescent="0.3">
      <c r="B31" s="101">
        <v>26</v>
      </c>
      <c r="C31" s="83" t="str">
        <f>'Facility Master'!C30</f>
        <v>ICICI Bank</v>
      </c>
      <c r="D31" s="84" t="str">
        <f>'Facility Master'!D30</f>
        <v>SBLC for Buyers' Credit</v>
      </c>
      <c r="E31" s="36" t="str">
        <f>IFERROR('Facility Master'!E30,0)</f>
        <v>NFB</v>
      </c>
      <c r="F31" s="76">
        <f>IFERROR('Facility Master'!J30,0)</f>
        <v>150</v>
      </c>
      <c r="G31" s="76">
        <f>IFERROR('Facility Master'!L30,0)</f>
        <v>150</v>
      </c>
      <c r="H31" s="76">
        <f>IFERROR('Facility Master'!N30,0)</f>
        <v>0</v>
      </c>
      <c r="I31" s="85">
        <f>IFERROR('Facility Master'!M30,0)</f>
        <v>1</v>
      </c>
      <c r="J31" s="55" t="str">
        <f t="shared" si="0"/>
        <v>High (&gt;90%)</v>
      </c>
      <c r="K31" s="63" t="str">
        <f>IF('Facility Master'!AA30="","",IF(ISNUMBER('Facility Master'!AA30),IF('Facility Master'!AA30-AsOfDate&lt;=30,"Expiring (&lt;=30D)",IF('Facility Master'!AA30-AsOfDate&lt;=60,"Due Soon (&lt;=60D)","OK")),"-"))</f>
        <v>OK</v>
      </c>
    </row>
    <row r="32" spans="2:11" ht="21.75" customHeight="1" x14ac:dyDescent="0.3">
      <c r="B32" s="99">
        <v>27</v>
      </c>
      <c r="C32" s="83" t="str">
        <f>'Facility Master'!C31</f>
        <v>ICICI Bank</v>
      </c>
      <c r="D32" s="84" t="str">
        <f>'Facility Master'!D31</f>
        <v>Bank Guarantee - Performance</v>
      </c>
      <c r="E32" s="36" t="str">
        <f>IFERROR('Facility Master'!E31,0)</f>
        <v>NFB</v>
      </c>
      <c r="F32" s="76">
        <f>IFERROR('Facility Master'!J31,0)</f>
        <v>25</v>
      </c>
      <c r="G32" s="76">
        <f>IFERROR('Facility Master'!L31,0)</f>
        <v>25</v>
      </c>
      <c r="H32" s="76">
        <f>IFERROR('Facility Master'!N31,0)</f>
        <v>0</v>
      </c>
      <c r="I32" s="85">
        <f>IFERROR('Facility Master'!M31,0)</f>
        <v>1</v>
      </c>
      <c r="J32" s="40" t="str">
        <f t="shared" si="0"/>
        <v>High (&gt;90%)</v>
      </c>
      <c r="K32" s="49" t="str">
        <f>IF('Facility Master'!AA31="","",IF(ISNUMBER('Facility Master'!AA31),IF('Facility Master'!AA31-AsOfDate&lt;=30,"Expiring (&lt;=30D)",IF('Facility Master'!AA31-AsOfDate&lt;=60,"Due Soon (&lt;=60D)","OK")),"-"))</f>
        <v>OK</v>
      </c>
    </row>
    <row r="33" spans="2:11" ht="21.75" customHeight="1" x14ac:dyDescent="0.3">
      <c r="B33" s="101">
        <v>28</v>
      </c>
      <c r="C33" s="83" t="str">
        <f>'Facility Master'!C32</f>
        <v>ICICI Bank</v>
      </c>
      <c r="D33" s="84" t="str">
        <f>'Facility Master'!D32</f>
        <v>Bank Guarantee - Financial</v>
      </c>
      <c r="E33" s="36" t="str">
        <f>IFERROR('Facility Master'!E32,0)</f>
        <v>NFB</v>
      </c>
      <c r="F33" s="76">
        <f>IFERROR('Facility Master'!J32,0)</f>
        <v>5</v>
      </c>
      <c r="G33" s="76">
        <f>IFERROR('Facility Master'!L32,0)</f>
        <v>5</v>
      </c>
      <c r="H33" s="76">
        <f>IFERROR('Facility Master'!N32,0)</f>
        <v>0</v>
      </c>
      <c r="I33" s="85">
        <f>IFERROR('Facility Master'!M32,0)</f>
        <v>1</v>
      </c>
      <c r="J33" s="55" t="str">
        <f t="shared" si="0"/>
        <v>High (&gt;90%)</v>
      </c>
      <c r="K33" s="63" t="str">
        <f>IF('Facility Master'!AA32="","",IF(ISNUMBER('Facility Master'!AA32),IF('Facility Master'!AA32-AsOfDate&lt;=30,"Expiring (&lt;=30D)",IF('Facility Master'!AA32-AsOfDate&lt;=60,"Due Soon (&lt;=60D)","OK")),"-"))</f>
        <v>OK</v>
      </c>
    </row>
    <row r="34" spans="2:11" ht="21.75" customHeight="1" x14ac:dyDescent="0.3">
      <c r="B34" s="99">
        <v>29</v>
      </c>
      <c r="C34" s="83" t="str">
        <f>'Facility Master'!C33</f>
        <v>South Indian Bank</v>
      </c>
      <c r="D34" s="84" t="str">
        <f>'Facility Master'!D33</f>
        <v>CCOL (Cash Credit)</v>
      </c>
      <c r="E34" s="36" t="str">
        <f>IFERROR('Facility Master'!E33,0)</f>
        <v>FB</v>
      </c>
      <c r="F34" s="76">
        <f>IFERROR('Facility Master'!J33,0)</f>
        <v>50</v>
      </c>
      <c r="G34" s="76">
        <f>IFERROR('Facility Master'!L33,0)</f>
        <v>50</v>
      </c>
      <c r="H34" s="76">
        <f>IFERROR('Facility Master'!N33,0)</f>
        <v>0</v>
      </c>
      <c r="I34" s="85">
        <f>IFERROR('Facility Master'!M33,0)</f>
        <v>1</v>
      </c>
      <c r="J34" s="40" t="str">
        <f t="shared" si="0"/>
        <v>High (&gt;90%)</v>
      </c>
      <c r="K34" s="49" t="str">
        <f>IF('Facility Master'!AA33="","",IF(ISNUMBER('Facility Master'!AA33),IF('Facility Master'!AA33-AsOfDate&lt;=30,"Expiring (&lt;=30D)",IF('Facility Master'!AA33-AsOfDate&lt;=60,"Due Soon (&lt;=60D)","OK")),"-"))</f>
        <v>-</v>
      </c>
    </row>
    <row r="35" spans="2:11" ht="21.75" customHeight="1" x14ac:dyDescent="0.3">
      <c r="B35" s="101">
        <v>30</v>
      </c>
      <c r="C35" s="83" t="str">
        <f>'Facility Master'!C34</f>
        <v>South Indian Bank</v>
      </c>
      <c r="D35" s="84" t="str">
        <f>'Facility Master'!D34</f>
        <v>WCL / WCDL</v>
      </c>
      <c r="E35" s="36" t="str">
        <f>IFERROR('Facility Master'!E34,0)</f>
        <v>FB</v>
      </c>
      <c r="F35" s="76">
        <f>IFERROR('Facility Master'!J34,0)</f>
        <v>50</v>
      </c>
      <c r="G35" s="76">
        <f>IFERROR('Facility Master'!L34,0)</f>
        <v>50</v>
      </c>
      <c r="H35" s="76">
        <f>IFERROR('Facility Master'!N34,0)</f>
        <v>0</v>
      </c>
      <c r="I35" s="85">
        <f>IFERROR('Facility Master'!M34,0)</f>
        <v>1</v>
      </c>
      <c r="J35" s="55" t="str">
        <f t="shared" si="0"/>
        <v>High (&gt;90%)</v>
      </c>
      <c r="K35" s="63" t="str">
        <f>IF('Facility Master'!AA34="","",IF(ISNUMBER('Facility Master'!AA34),IF('Facility Master'!AA34-AsOfDate&lt;=30,"Expiring (&lt;=30D)",IF('Facility Master'!AA34-AsOfDate&lt;=60,"Due Soon (&lt;=60D)","OK")),"-"))</f>
        <v>-</v>
      </c>
    </row>
    <row r="36" spans="2:11" ht="21.75" customHeight="1" x14ac:dyDescent="0.3">
      <c r="B36" s="99">
        <v>31</v>
      </c>
      <c r="C36" s="83" t="str">
        <f>'Facility Master'!C35</f>
        <v>South Indian Bank</v>
      </c>
      <c r="D36" s="84" t="str">
        <f>'Facility Master'!D35</f>
        <v>Inland / Import LC</v>
      </c>
      <c r="E36" s="36" t="str">
        <f>IFERROR('Facility Master'!E35,0)</f>
        <v>NFB</v>
      </c>
      <c r="F36" s="76">
        <f>IFERROR('Facility Master'!J35,0)</f>
        <v>150</v>
      </c>
      <c r="G36" s="76">
        <f>IFERROR('Facility Master'!L35,0)</f>
        <v>150</v>
      </c>
      <c r="H36" s="76">
        <f>IFERROR('Facility Master'!N35,0)</f>
        <v>0</v>
      </c>
      <c r="I36" s="85">
        <f>IFERROR('Facility Master'!M35,0)</f>
        <v>1</v>
      </c>
      <c r="J36" s="40" t="str">
        <f t="shared" si="0"/>
        <v>High (&gt;90%)</v>
      </c>
      <c r="K36" s="49" t="str">
        <f>IF('Facility Master'!AA35="","",IF(ISNUMBER('Facility Master'!AA35),IF('Facility Master'!AA35-AsOfDate&lt;=30,"Expiring (&lt;=30D)",IF('Facility Master'!AA35-AsOfDate&lt;=60,"Due Soon (&lt;=60D)","OK")),"-"))</f>
        <v>-</v>
      </c>
    </row>
    <row r="37" spans="2:11" ht="21.75" customHeight="1" x14ac:dyDescent="0.3">
      <c r="B37" s="101">
        <v>32</v>
      </c>
      <c r="C37" s="83" t="str">
        <f>'Facility Master'!C36</f>
        <v>South Indian Bank</v>
      </c>
      <c r="D37" s="84" t="str">
        <f>'Facility Master'!D36</f>
        <v>Capex LC</v>
      </c>
      <c r="E37" s="36" t="str">
        <f>IFERROR('Facility Master'!E36,0)</f>
        <v>NFB</v>
      </c>
      <c r="F37" s="76">
        <f>IFERROR('Facility Master'!J36,0)</f>
        <v>50</v>
      </c>
      <c r="G37" s="76">
        <f>IFERROR('Facility Master'!L36,0)</f>
        <v>50</v>
      </c>
      <c r="H37" s="76">
        <f>IFERROR('Facility Master'!N36,0)</f>
        <v>0</v>
      </c>
      <c r="I37" s="85">
        <f>IFERROR('Facility Master'!M36,0)</f>
        <v>1</v>
      </c>
      <c r="J37" s="55" t="str">
        <f t="shared" si="0"/>
        <v>High (&gt;90%)</v>
      </c>
      <c r="K37" s="63" t="str">
        <f>IF('Facility Master'!AA36="","",IF(ISNUMBER('Facility Master'!AA36),IF('Facility Master'!AA36-AsOfDate&lt;=30,"Expiring (&lt;=30D)",IF('Facility Master'!AA36-AsOfDate&lt;=60,"Due Soon (&lt;=60D)","OK")),"-"))</f>
        <v>-</v>
      </c>
    </row>
    <row r="38" spans="2:11" ht="21.75" customHeight="1" x14ac:dyDescent="0.3">
      <c r="B38" s="99">
        <v>33</v>
      </c>
      <c r="C38" s="83" t="str">
        <f>'Facility Master'!C37</f>
        <v>South Indian Bank</v>
      </c>
      <c r="D38" s="84" t="str">
        <f>'Facility Master'!D37</f>
        <v>SBLC</v>
      </c>
      <c r="E38" s="36" t="str">
        <f>IFERROR('Facility Master'!E37,0)</f>
        <v>NFB</v>
      </c>
      <c r="F38" s="76">
        <f>IFERROR('Facility Master'!J37,0)</f>
        <v>150</v>
      </c>
      <c r="G38" s="76">
        <f>IFERROR('Facility Master'!L37,0)</f>
        <v>150</v>
      </c>
      <c r="H38" s="76">
        <f>IFERROR('Facility Master'!N37,0)</f>
        <v>0</v>
      </c>
      <c r="I38" s="85">
        <f>IFERROR('Facility Master'!M37,0)</f>
        <v>1</v>
      </c>
      <c r="J38" s="40" t="str">
        <f t="shared" si="0"/>
        <v>High (&gt;90%)</v>
      </c>
      <c r="K38" s="49" t="str">
        <f>IF('Facility Master'!AA37="","",IF(ISNUMBER('Facility Master'!AA37),IF('Facility Master'!AA37-AsOfDate&lt;=30,"Expiring (&lt;=30D)",IF('Facility Master'!AA37-AsOfDate&lt;=60,"Due Soon (&lt;=60D)","OK")),"-"))</f>
        <v>-</v>
      </c>
    </row>
    <row r="39" spans="2:11" ht="21.75" customHeight="1" x14ac:dyDescent="0.3">
      <c r="B39" s="101">
        <v>34</v>
      </c>
      <c r="C39" s="83" t="str">
        <f>'Facility Master'!C38</f>
        <v>South Indian Bank</v>
      </c>
      <c r="D39" s="84" t="str">
        <f>'Facility Master'!D38</f>
        <v>Forward Contract Limit</v>
      </c>
      <c r="E39" s="36" t="str">
        <f>IFERROR('Facility Master'!E38,0)</f>
        <v>Hedge</v>
      </c>
      <c r="F39" s="76">
        <f>IFERROR('Facility Master'!J38,0)</f>
        <v>3</v>
      </c>
      <c r="G39" s="76">
        <f>IFERROR('Facility Master'!L38,0)</f>
        <v>3</v>
      </c>
      <c r="H39" s="76">
        <f>IFERROR('Facility Master'!N38,0)</f>
        <v>0</v>
      </c>
      <c r="I39" s="85">
        <f>IFERROR('Facility Master'!M38,0)</f>
        <v>1</v>
      </c>
      <c r="J39" s="55" t="str">
        <f t="shared" si="0"/>
        <v>High (&gt;90%)</v>
      </c>
      <c r="K39" s="63" t="str">
        <f>IF('Facility Master'!AA38="","",IF(ISNUMBER('Facility Master'!AA38),IF('Facility Master'!AA38-AsOfDate&lt;=30,"Expiring (&lt;=30D)",IF('Facility Master'!AA38-AsOfDate&lt;=60,"Due Soon (&lt;=60D)","OK")),"-"))</f>
        <v>-</v>
      </c>
    </row>
    <row r="40" spans="2:11" ht="15" customHeight="1" x14ac:dyDescent="0.3">
      <c r="B40" s="304" t="s">
        <v>419</v>
      </c>
      <c r="C40" s="304"/>
      <c r="D40" s="304"/>
      <c r="E40" s="304"/>
      <c r="F40" s="72">
        <f>IFERROR(SUM(F6:F39),0)</f>
        <v>3410.7</v>
      </c>
      <c r="G40" s="72">
        <f>IFERROR(SUM(G6:G39),0)</f>
        <v>3410.7</v>
      </c>
      <c r="H40" s="72">
        <f>IFERROR(SUM(H6:H39),0)</f>
        <v>0</v>
      </c>
      <c r="I40" s="73">
        <f>IFERROR(G40/F40,0)</f>
        <v>1</v>
      </c>
      <c r="J40" s="71"/>
      <c r="K40" s="71"/>
    </row>
  </sheetData>
  <mergeCells count="3">
    <mergeCell ref="B2:K2"/>
    <mergeCell ref="B3:K3"/>
    <mergeCell ref="B40:E40"/>
  </mergeCells>
  <conditionalFormatting sqref="I6:I39">
    <cfRule type="cellIs" dxfId="16" priority="2" operator="greaterThan">
      <formula>0.9</formula>
    </cfRule>
    <cfRule type="cellIs" dxfId="15" priority="3" operator="between">
      <formula>0.75</formula>
      <formula>0.9</formula>
    </cfRule>
  </conditionalFormatting>
  <conditionalFormatting sqref="K6:K39">
    <cfRule type="expression" dxfId="14" priority="4">
      <formula>ISNUMBER(SEARCH("Expiring",K6))</formula>
    </cfRule>
    <cfRule type="expression" dxfId="13" priority="5">
      <formula>ISNUMBER(SEARCH("Due Soon",K6))</formula>
    </cfRule>
  </conditionalFormatting>
  <dataValidations count="1">
    <dataValidation type="list" allowBlank="1" sqref="J6:J40" xr:uid="{00000000-0002-0000-0D00-000000000000}">
      <formula1>"Normal,Watch,Over-utilized,Under-utilized"</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B2:J49"/>
  <sheetViews>
    <sheetView showGridLines="0" zoomScaleNormal="100" workbookViewId="0">
      <pane xSplit="3" ySplit="5" topLeftCell="D6" activePane="bottomRight" state="frozen"/>
      <selection pane="topRight" activeCell="D1" sqref="D1"/>
      <selection pane="bottomLeft" activeCell="A6" sqref="A6"/>
      <selection pane="bottomRight" activeCell="H6" sqref="H6"/>
    </sheetView>
  </sheetViews>
  <sheetFormatPr defaultColWidth="8.6640625" defaultRowHeight="14.4" x14ac:dyDescent="0.3"/>
  <cols>
    <col min="1" max="1" width="3" customWidth="1"/>
    <col min="2" max="2" width="4" customWidth="1"/>
    <col min="3" max="3" width="16" customWidth="1"/>
    <col min="4" max="4" width="28" customWidth="1"/>
    <col min="5" max="8" width="14" customWidth="1"/>
    <col min="9" max="9" width="18" customWidth="1"/>
    <col min="10" max="10" width="28" customWidth="1"/>
  </cols>
  <sheetData>
    <row r="2" spans="2:10" ht="36" customHeight="1" x14ac:dyDescent="0.3">
      <c r="B2" s="300" t="s">
        <v>713</v>
      </c>
      <c r="C2" s="300"/>
      <c r="D2" s="300"/>
      <c r="E2" s="300"/>
      <c r="F2" s="300"/>
      <c r="G2" s="300"/>
      <c r="H2" s="300"/>
      <c r="I2" s="300"/>
      <c r="J2" s="300"/>
    </row>
    <row r="3" spans="2:10" ht="27.75" customHeight="1" x14ac:dyDescent="0.3">
      <c r="B3" s="311" t="s">
        <v>714</v>
      </c>
      <c r="C3" s="311"/>
      <c r="D3" s="311"/>
      <c r="E3" s="311"/>
      <c r="F3" s="311"/>
      <c r="G3" s="311"/>
      <c r="H3" s="311"/>
      <c r="I3" s="311"/>
      <c r="J3" s="311"/>
    </row>
    <row r="4" spans="2:10" s="126" customFormat="1" ht="7.95" customHeight="1" x14ac:dyDescent="0.3"/>
    <row r="5" spans="2:10" ht="39.75" customHeight="1" x14ac:dyDescent="0.3">
      <c r="B5" s="9" t="s">
        <v>422</v>
      </c>
      <c r="C5" s="9" t="s">
        <v>217</v>
      </c>
      <c r="D5" s="9" t="s">
        <v>218</v>
      </c>
      <c r="E5" s="9" t="s">
        <v>715</v>
      </c>
      <c r="F5" s="9" t="s">
        <v>716</v>
      </c>
      <c r="G5" s="9" t="s">
        <v>717</v>
      </c>
      <c r="H5" s="9" t="s">
        <v>718</v>
      </c>
      <c r="I5" s="9" t="s">
        <v>0</v>
      </c>
      <c r="J5" s="9" t="s">
        <v>259</v>
      </c>
    </row>
    <row r="6" spans="2:10" ht="24" customHeight="1" x14ac:dyDescent="0.3">
      <c r="B6" s="99">
        <v>1</v>
      </c>
      <c r="C6" s="83" t="str">
        <f>'Facility Master'!C5</f>
        <v>RBL Bank</v>
      </c>
      <c r="D6" s="84" t="str">
        <f>'Facility Master'!D5</f>
        <v>Letter of Credit - Main Limit</v>
      </c>
      <c r="E6" s="87">
        <f>'Facility Master'!Z5</f>
        <v>46022</v>
      </c>
      <c r="F6" s="87">
        <f>'Facility Master'!AA5</f>
        <v>46356</v>
      </c>
      <c r="G6" s="87" t="str">
        <f>'Facility Master'!Y5</f>
        <v>-</v>
      </c>
      <c r="H6" s="113">
        <f t="shared" ref="H6:H39" si="0">IFERROR(IF(ISNUMBER(F6),F6-AsOfDate,"-"),"-")</f>
        <v>223</v>
      </c>
      <c r="I6" s="40" t="str">
        <f t="shared" ref="I6:I39" si="1">IF(NOT(ISNUMBER(H6)),"-",IF(H6&lt;0,"Expired",IF(H6&lt;=30,"Expiring (&lt;=30D)",IF(H6&lt;=60,"Due Soon (&lt;=60D)","OK"))))</f>
        <v>OK</v>
      </c>
      <c r="J6" s="84" t="str">
        <f>'Facility Master'!AE5</f>
        <v>Pricing revised from 0.50% to 0.45% on 31-Dec-2025. | Validity rolled +1 year (orig: 2025-11-30) per Assumption #12: annual-renewal WC facilities presumed operationally renewed. Confirm with relationship manager.</v>
      </c>
    </row>
    <row r="7" spans="2:10" ht="24" customHeight="1" x14ac:dyDescent="0.3">
      <c r="B7" s="101">
        <v>2</v>
      </c>
      <c r="C7" s="83" t="str">
        <f>'Facility Master'!C6</f>
        <v>RBL Bank</v>
      </c>
      <c r="D7" s="84" t="str">
        <f>'Facility Master'!D6</f>
        <v>Bank Guarantee</v>
      </c>
      <c r="E7" s="87">
        <f>'Facility Master'!Z6</f>
        <v>46022</v>
      </c>
      <c r="F7" s="87">
        <f>'Facility Master'!AA6</f>
        <v>46356</v>
      </c>
      <c r="G7" s="87" t="str">
        <f>'Facility Master'!Y6</f>
        <v>-</v>
      </c>
      <c r="H7" s="114">
        <f t="shared" si="0"/>
        <v>223</v>
      </c>
      <c r="I7" s="55" t="str">
        <f t="shared" si="1"/>
        <v>OK</v>
      </c>
      <c r="J7" s="84" t="str">
        <f>'Facility Master'!AE6</f>
        <v>Pricing per 28-Feb-2025 table; BG not re-priced on 31-Dec-2025. | Validity rolled +1 year (orig: 2025-11-30) per Assumption #12: annual-renewal WC facilities presumed operationally renewed. Confirm with relationship manager. | ⚠ COMMISSION RATE TBD: Original RBL sanction (25-Nov-2022) specifies 1.00% p.a. for BGs. 31-Dec-2025 renewal does not explicitly revise BG rate downward. 0.50% is inferred from the 28-Feb-2025 pricing table but NOT confirmed in writing by RBL for the renewed sanction. Confirm 0.50% with RBL RM before finalising lender reporting / commission accrual.</v>
      </c>
    </row>
    <row r="8" spans="2:10" ht="24" customHeight="1" x14ac:dyDescent="0.3">
      <c r="B8" s="99">
        <v>3</v>
      </c>
      <c r="C8" s="83" t="str">
        <f>'Facility Master'!C7</f>
        <v>RBL Bank</v>
      </c>
      <c r="D8" s="84" t="str">
        <f>'Facility Master'!D7</f>
        <v>Invoice Discounting (PID)</v>
      </c>
      <c r="E8" s="87">
        <f>'Facility Master'!Z7</f>
        <v>46022</v>
      </c>
      <c r="F8" s="87">
        <f>'Facility Master'!AA7</f>
        <v>46356</v>
      </c>
      <c r="G8" s="87" t="str">
        <f>'Facility Master'!Y7</f>
        <v>-</v>
      </c>
      <c r="H8" s="113">
        <f t="shared" si="0"/>
        <v>223</v>
      </c>
      <c r="I8" s="40" t="str">
        <f t="shared" si="1"/>
        <v>OK</v>
      </c>
      <c r="J8" s="84" t="str">
        <f>'Facility Master'!AE7</f>
        <v>Rate not specified in sanction letter. | Validity rolled +1 year (orig: 2025-11-30) per Assumption #12: annual-renewal WC facilities presumed operationally renewed. Confirm with relationship manager.</v>
      </c>
    </row>
    <row r="9" spans="2:10" ht="24" customHeight="1" x14ac:dyDescent="0.3">
      <c r="B9" s="101">
        <v>4</v>
      </c>
      <c r="C9" s="83" t="str">
        <f>'Facility Master'!C8</f>
        <v>RBL Bank</v>
      </c>
      <c r="D9" s="84" t="str">
        <f>'Facility Master'!D8</f>
        <v>SBLC</v>
      </c>
      <c r="E9" s="87">
        <f>'Facility Master'!Z8</f>
        <v>45729</v>
      </c>
      <c r="F9" s="87">
        <f>'Facility Master'!AA8</f>
        <v>46356</v>
      </c>
      <c r="G9" s="87" t="str">
        <f>'Facility Master'!Y8</f>
        <v>-</v>
      </c>
      <c r="H9" s="114">
        <f t="shared" si="0"/>
        <v>223</v>
      </c>
      <c r="I9" s="55" t="str">
        <f t="shared" si="1"/>
        <v>OK</v>
      </c>
      <c r="J9" s="84" t="str">
        <f>'Facility Master'!AE8</f>
        <v>SBLC sub-limit introduced via 13-Mar-2025 modification. | Validity rolled +1 year (orig: 2025-11-30) per Assumption #12: annual-renewal WC facilities presumed operationally renewed. Confirm with relationship manager. | Commission 0.50% per 28-Feb-2025 pricing, unchanged in 31-Dec-2025 renewal ('all other terms continue'). Earlier 13-Mar-2025 modification said 'TBD at transaction' for this sub-limit but was overridden by 31-Dec-2025 renewal.</v>
      </c>
    </row>
    <row r="10" spans="2:10" ht="24" customHeight="1" x14ac:dyDescent="0.3">
      <c r="B10" s="99">
        <v>5</v>
      </c>
      <c r="C10" s="83" t="str">
        <f>'Facility Master'!C9</f>
        <v>RBL Bank</v>
      </c>
      <c r="D10" s="84" t="str">
        <f>'Facility Master'!D9</f>
        <v>Pre-Acceptance LCBD</v>
      </c>
      <c r="E10" s="87">
        <f>'Facility Master'!Z9</f>
        <v>46022</v>
      </c>
      <c r="F10" s="87">
        <f>'Facility Master'!AA9</f>
        <v>46356</v>
      </c>
      <c r="G10" s="87" t="str">
        <f>'Facility Master'!Y9</f>
        <v>-</v>
      </c>
      <c r="H10" s="113">
        <f t="shared" si="0"/>
        <v>223</v>
      </c>
      <c r="I10" s="40" t="str">
        <f t="shared" si="1"/>
        <v>OK</v>
      </c>
      <c r="J10" s="84" t="str">
        <f>'Facility Master'!AE9</f>
        <v>Rate not specified in sanction letter. | Validity rolled +1 year (orig: 2025-11-30) per Assumption #12: annual-renewal WC facilities presumed operationally renewed. Confirm with relationship manager.</v>
      </c>
    </row>
    <row r="11" spans="2:10" ht="24" customHeight="1" x14ac:dyDescent="0.3">
      <c r="B11" s="101">
        <v>6</v>
      </c>
      <c r="C11" s="83" t="str">
        <f>'Facility Master'!C10</f>
        <v>RBL Bank</v>
      </c>
      <c r="D11" s="84" t="str">
        <f>'Facility Master'!D10</f>
        <v>Cash Credit</v>
      </c>
      <c r="E11" s="87">
        <f>'Facility Master'!Z10</f>
        <v>45716</v>
      </c>
      <c r="F11" s="87">
        <f>'Facility Master'!AA10</f>
        <v>46356</v>
      </c>
      <c r="G11" s="87" t="str">
        <f>'Facility Master'!Y10</f>
        <v>-</v>
      </c>
      <c r="H11" s="114">
        <f t="shared" si="0"/>
        <v>223</v>
      </c>
      <c r="I11" s="55" t="str">
        <f t="shared" si="1"/>
        <v>OK</v>
      </c>
      <c r="J11" s="84" t="str">
        <f>'Facility Master'!AE10</f>
        <v>Pricing defined 28-Feb-2025; unchanged in 31-Dec-2025 letter. | Validity rolled +1 year (orig: 2025-11-30) per Assumption #12: annual-renewal WC facilities presumed operationally renewed. Confirm with relationship manager.</v>
      </c>
    </row>
    <row r="12" spans="2:10" ht="24" customHeight="1" x14ac:dyDescent="0.3">
      <c r="B12" s="99">
        <v>7</v>
      </c>
      <c r="C12" s="83" t="str">
        <f>'Facility Master'!C11</f>
        <v>RBL Bank</v>
      </c>
      <c r="D12" s="84" t="str">
        <f>'Facility Master'!D11</f>
        <v>Working Capital Demand Loan (WCDL)</v>
      </c>
      <c r="E12" s="87">
        <f>'Facility Master'!Z11</f>
        <v>46022</v>
      </c>
      <c r="F12" s="87">
        <f>'Facility Master'!AA11</f>
        <v>46356</v>
      </c>
      <c r="G12" s="87" t="str">
        <f>'Facility Master'!Y11</f>
        <v>-</v>
      </c>
      <c r="H12" s="113">
        <f t="shared" si="0"/>
        <v>223</v>
      </c>
      <c r="I12" s="40" t="str">
        <f t="shared" si="1"/>
        <v>OK</v>
      </c>
      <c r="J12" s="84" t="str">
        <f>'Facility Master'!AE11</f>
        <v>Rate set at drawdown. | Validity rolled +1 year (orig: 2025-11-30) per Assumption #12: annual-renewal WC facilities presumed operationally renewed. Confirm with relationship manager.</v>
      </c>
    </row>
    <row r="13" spans="2:10" ht="24" customHeight="1" x14ac:dyDescent="0.3">
      <c r="B13" s="101">
        <v>8</v>
      </c>
      <c r="C13" s="83" t="str">
        <f>'Facility Master'!C12</f>
        <v>RBL Bank</v>
      </c>
      <c r="D13" s="84" t="str">
        <f>'Facility Master'!D12</f>
        <v>Loan Equivalent Risk (LER)</v>
      </c>
      <c r="E13" s="87">
        <f>'Facility Master'!Z12</f>
        <v>46022</v>
      </c>
      <c r="F13" s="87">
        <f>'Facility Master'!AA12</f>
        <v>46356</v>
      </c>
      <c r="G13" s="87" t="str">
        <f>'Facility Master'!Y12</f>
        <v>-</v>
      </c>
      <c r="H13" s="114">
        <f t="shared" si="0"/>
        <v>223</v>
      </c>
      <c r="I13" s="55" t="str">
        <f t="shared" si="1"/>
        <v>OK</v>
      </c>
      <c r="J13" s="84" t="str">
        <f>'Facility Master'!AE12</f>
        <v>Notional limit; 75% MTM trigger. | Validity rolled +1 year (orig: 2025-11-30) per Assumption #12: annual-renewal WC facilities presumed operationally renewed. Confirm with relationship manager.</v>
      </c>
    </row>
    <row r="14" spans="2:10" ht="24" customHeight="1" x14ac:dyDescent="0.3">
      <c r="B14" s="99">
        <v>9</v>
      </c>
      <c r="C14" s="83" t="str">
        <f>'Facility Master'!C13</f>
        <v>RBL Bank</v>
      </c>
      <c r="D14" s="84" t="str">
        <f>'Facility Master'!D13</f>
        <v>Term Loan - Main Limit</v>
      </c>
      <c r="E14" s="87">
        <f>'Facility Master'!Z13</f>
        <v>45315</v>
      </c>
      <c r="F14" s="87">
        <f>'Facility Master'!AA13</f>
        <v>46387</v>
      </c>
      <c r="G14" s="87">
        <f>'Facility Master'!Y13</f>
        <v>47142</v>
      </c>
      <c r="H14" s="113">
        <f t="shared" si="0"/>
        <v>254</v>
      </c>
      <c r="I14" s="40" t="str">
        <f t="shared" si="1"/>
        <v>OK</v>
      </c>
      <c r="J14" s="84" t="str">
        <f>'Facility Master'!AE13</f>
        <v>Debt-equity 40:60 for TL-funded capex. Rate TBD. | Validity rolled +1 year (orig: 2025-12-31) per Assumption #12: annual-renewal WC facilities presumed operationally renewed. Confirm with relationship manager.</v>
      </c>
    </row>
    <row r="15" spans="2:10" ht="24" customHeight="1" x14ac:dyDescent="0.3">
      <c r="B15" s="101">
        <v>10</v>
      </c>
      <c r="C15" s="83" t="str">
        <f>'Facility Master'!C14</f>
        <v>RBL Bank</v>
      </c>
      <c r="D15" s="84" t="str">
        <f>'Facility Master'!D14</f>
        <v>SBLC for Buyer's Credit (GIFT City)</v>
      </c>
      <c r="E15" s="87">
        <f>'Facility Master'!Z14</f>
        <v>46022</v>
      </c>
      <c r="F15" s="87">
        <f>'Facility Master'!AA14</f>
        <v>46356</v>
      </c>
      <c r="G15" s="87" t="str">
        <f>'Facility Master'!Y14</f>
        <v>-</v>
      </c>
      <c r="H15" s="114">
        <f t="shared" si="0"/>
        <v>223</v>
      </c>
      <c r="I15" s="55" t="str">
        <f t="shared" si="1"/>
        <v>OK</v>
      </c>
      <c r="J15" s="84" t="str">
        <f>'Facility Master'!AE14</f>
        <v>Limit increased 172 -&gt; 190 Cr on 31-Dec-2025. | Validity rolled +1 year (orig: 2025-11-30) per Assumption #12: annual-renewal WC facilities presumed operationally renewed. Confirm with relationship manager.</v>
      </c>
    </row>
    <row r="16" spans="2:10" ht="24" customHeight="1" x14ac:dyDescent="0.3">
      <c r="B16" s="99">
        <v>11</v>
      </c>
      <c r="C16" s="83" t="str">
        <f>'Facility Master'!C15</f>
        <v>RBL Bank</v>
      </c>
      <c r="D16" s="84" t="str">
        <f>'Facility Master'!D15</f>
        <v>Capex LC</v>
      </c>
      <c r="E16" s="87">
        <f>'Facility Master'!Z15</f>
        <v>46022</v>
      </c>
      <c r="F16" s="87">
        <f>'Facility Master'!AA15</f>
        <v>46356</v>
      </c>
      <c r="G16" s="87" t="str">
        <f>'Facility Master'!Y15</f>
        <v>-</v>
      </c>
      <c r="H16" s="113">
        <f t="shared" si="0"/>
        <v>223</v>
      </c>
      <c r="I16" s="40" t="str">
        <f t="shared" si="1"/>
        <v>OK</v>
      </c>
      <c r="J16" s="84" t="str">
        <f>'Facility Master'!AE15</f>
        <v>Originally 24-Jan-2024; converted revolving 28-Feb-2025. | Validity rolled +1 year (orig: 2025-11-30) per Assumption #12: annual-renewal WC facilities presumed operationally renewed. Confirm with relationship manager. | Commission TBD at disbursement per sanction letter. FD-backed LC typically carries nil-to-very-low commission (lender's own-FD collateral). Model shows 0.</v>
      </c>
    </row>
    <row r="17" spans="2:10" ht="24" customHeight="1" x14ac:dyDescent="0.3">
      <c r="B17" s="101">
        <v>12</v>
      </c>
      <c r="C17" s="83" t="str">
        <f>'Facility Master'!C16</f>
        <v>RBL Bank</v>
      </c>
      <c r="D17" s="84" t="str">
        <f>'Facility Master'!D16</f>
        <v>Overdraft backed by 100% FD (FDOD)</v>
      </c>
      <c r="E17" s="87">
        <f>'Facility Master'!Z16</f>
        <v>45315</v>
      </c>
      <c r="F17" s="87">
        <f>'Facility Master'!AA16</f>
        <v>46356</v>
      </c>
      <c r="G17" s="87" t="str">
        <f>'Facility Master'!Y16</f>
        <v>-</v>
      </c>
      <c r="H17" s="114">
        <f t="shared" si="0"/>
        <v>223</v>
      </c>
      <c r="I17" s="55" t="str">
        <f t="shared" si="1"/>
        <v>OK</v>
      </c>
      <c r="J17" s="84" t="str">
        <f>'Facility Master'!AE16</f>
        <v>Excluded from INR 300 Cr overall cap. | Validity rolled +1 year (orig: 2025-11-30) per Assumption #12: annual-renewal WC facilities presumed operationally renewed. Confirm with relationship manager.</v>
      </c>
    </row>
    <row r="18" spans="2:10" ht="24" customHeight="1" x14ac:dyDescent="0.3">
      <c r="B18" s="99">
        <v>13</v>
      </c>
      <c r="C18" s="83" t="str">
        <f>'Facility Master'!C17</f>
        <v>RBL Bank</v>
      </c>
      <c r="D18" s="84" t="str">
        <f>'Facility Master'!D17</f>
        <v>LC backed by 100% FD</v>
      </c>
      <c r="E18" s="87">
        <f>'Facility Master'!Z17</f>
        <v>45315</v>
      </c>
      <c r="F18" s="87">
        <f>'Facility Master'!AA17</f>
        <v>46356</v>
      </c>
      <c r="G18" s="87" t="str">
        <f>'Facility Master'!Y17</f>
        <v>-</v>
      </c>
      <c r="H18" s="113">
        <f t="shared" si="0"/>
        <v>223</v>
      </c>
      <c r="I18" s="40" t="str">
        <f t="shared" si="1"/>
        <v>OK</v>
      </c>
      <c r="J18" s="84" t="str">
        <f>'Facility Master'!AE17</f>
        <v>Rate not specified in sanction letter. | Validity rolled +1 year (orig: 2025-11-30) per Assumption #12: annual-renewal WC facilities presumed operationally renewed. Confirm with relationship manager.</v>
      </c>
    </row>
    <row r="19" spans="2:10" ht="24" customHeight="1" x14ac:dyDescent="0.3">
      <c r="B19" s="101">
        <v>14</v>
      </c>
      <c r="C19" s="83" t="str">
        <f>'Facility Master'!C18</f>
        <v>RBL Bank</v>
      </c>
      <c r="D19" s="84" t="str">
        <f>'Facility Master'!D18</f>
        <v>Buyer's Credit from GIFT City - WC</v>
      </c>
      <c r="E19" s="87">
        <f>'Facility Master'!Z18</f>
        <v>45729</v>
      </c>
      <c r="F19" s="87">
        <f>'Facility Master'!AA18</f>
        <v>46356</v>
      </c>
      <c r="G19" s="87" t="str">
        <f>'Facility Master'!Y18</f>
        <v>-</v>
      </c>
      <c r="H19" s="114">
        <f t="shared" si="0"/>
        <v>223</v>
      </c>
      <c r="I19" s="55" t="str">
        <f t="shared" si="1"/>
        <v>OK</v>
      </c>
      <c r="J19" s="84" t="str">
        <f>'Facility Master'!AE18</f>
        <v>Total RBL exposure (incl. LER) capped at INR 100 Cr. | Sanctioned INR capped at ₹100 Cr per sanction letter (binding limit). USD sanctioned limit is USD 11M, but total RBL exposure ring-fenced at ₹100 Cr regardless of FX. Formula: =MIN(USD×FX/10, 100). | Validity rolled +1 year (orig: 2025-11-30) per Assumption #12: annual-renewal WC facilities presumed operationally renewed. Confirm with relationship manager. | LC commission unspecified in sanction letter ('applicable commission plus taxes'). Model shows 0 pending confirmation from RM. Typical market rate for sub-180-day inland LC is 0.40%-0.60% p.a. Update Facility Master Q18 when confirmed.</v>
      </c>
    </row>
    <row r="20" spans="2:10" ht="24" customHeight="1" x14ac:dyDescent="0.3">
      <c r="B20" s="99">
        <v>15</v>
      </c>
      <c r="C20" s="83" t="str">
        <f>'Facility Master'!C19</f>
        <v>RBL Bank</v>
      </c>
      <c r="D20" s="84" t="str">
        <f>'Facility Master'!D19</f>
        <v>Buyer's Credit from GIFT City - CAPEX</v>
      </c>
      <c r="E20" s="87">
        <f>'Facility Master'!Z19</f>
        <v>45743</v>
      </c>
      <c r="F20" s="87">
        <f>'Facility Master'!AA19</f>
        <v>46356</v>
      </c>
      <c r="G20" s="87" t="str">
        <f>'Facility Master'!Y19</f>
        <v>-</v>
      </c>
      <c r="H20" s="113">
        <f t="shared" si="0"/>
        <v>223</v>
      </c>
      <c r="I20" s="40" t="str">
        <f t="shared" si="1"/>
        <v>OK</v>
      </c>
      <c r="J20" s="84" t="str">
        <f>'Facility Master'!AE19</f>
        <v>Total RBL exposure capped at INR 172 Cr (implied FX ~86). | Sanctioned INR capped at ₹172 Cr per sanction letter (binding limit). USD sanctioned limit is USD 20M, but total RBL exposure ring-fenced at ₹172 Cr regardless of FX. Formula: =MIN(USD×FX/10, 172). | Validity rolled +1 year (orig: 2025-11-30) per Assumption #12: annual-renewal WC facilities presumed operationally renewed. Confirm with relationship manager.</v>
      </c>
    </row>
    <row r="21" spans="2:10" ht="24" customHeight="1" x14ac:dyDescent="0.3">
      <c r="B21" s="101">
        <v>16</v>
      </c>
      <c r="C21" s="83" t="str">
        <f>'Facility Master'!C20</f>
        <v>YES Bank</v>
      </c>
      <c r="D21" s="84" t="str">
        <f>'Facility Master'!D20</f>
        <v>Purchase Invoice Financing</v>
      </c>
      <c r="E21" s="87">
        <f>'Facility Master'!Z20</f>
        <v>46100</v>
      </c>
      <c r="F21" s="87">
        <f>'Facility Master'!AA20</f>
        <v>46142</v>
      </c>
      <c r="G21" s="87" t="str">
        <f>'Facility Master'!Y20</f>
        <v>-</v>
      </c>
      <c r="H21" s="114">
        <f t="shared" si="0"/>
        <v>9</v>
      </c>
      <c r="I21" s="55" t="str">
        <f t="shared" si="1"/>
        <v>Expiring (&lt;=30D)</v>
      </c>
      <c r="J21" s="84" t="str">
        <f>'Facility Master'!AE20</f>
        <v>New facility; Interest payable upfront.</v>
      </c>
    </row>
    <row r="22" spans="2:10" ht="24" customHeight="1" x14ac:dyDescent="0.3">
      <c r="B22" s="99">
        <v>17</v>
      </c>
      <c r="C22" s="83" t="str">
        <f>'Facility Master'!C21</f>
        <v>YES Bank</v>
      </c>
      <c r="D22" s="84" t="str">
        <f>'Facility Master'!D21</f>
        <v>Cash Credit</v>
      </c>
      <c r="E22" s="87">
        <f>'Facility Master'!Z21</f>
        <v>46100</v>
      </c>
      <c r="F22" s="87" t="str">
        <f>'Facility Master'!AA21</f>
        <v>Assumed annual review</v>
      </c>
      <c r="G22" s="87" t="str">
        <f>'Facility Master'!Y21</f>
        <v>-</v>
      </c>
      <c r="H22" s="113" t="str">
        <f t="shared" si="0"/>
        <v>-</v>
      </c>
      <c r="I22" s="40" t="str">
        <f t="shared" si="1"/>
        <v>-</v>
      </c>
      <c r="J22" s="84" t="str">
        <f>'Facility Master'!AE21</f>
        <v>Pricing moved T-Bill+1.98% -&gt; 3M MCLR+0.07% on 19-Mar-2026.</v>
      </c>
    </row>
    <row r="23" spans="2:10" ht="24" customHeight="1" x14ac:dyDescent="0.3">
      <c r="B23" s="101">
        <v>18</v>
      </c>
      <c r="C23" s="83" t="str">
        <f>'Facility Master'!C22</f>
        <v>YES Bank</v>
      </c>
      <c r="D23" s="84" t="str">
        <f>'Facility Master'!D22</f>
        <v>Letter of Credit</v>
      </c>
      <c r="E23" s="87">
        <f>'Facility Master'!Z22</f>
        <v>46100</v>
      </c>
      <c r="F23" s="87">
        <f>'Facility Master'!AA22</f>
        <v>46472</v>
      </c>
      <c r="G23" s="87" t="str">
        <f>'Facility Master'!Y22</f>
        <v>-</v>
      </c>
      <c r="H23" s="114">
        <f t="shared" si="0"/>
        <v>339</v>
      </c>
      <c r="I23" s="55" t="str">
        <f t="shared" si="1"/>
        <v>OK</v>
      </c>
      <c r="J23" s="84" t="str">
        <f>'Facility Master'!AE22</f>
        <v>Overall WC cap INR 200 Cr net of receivable finance (INR 1 Cr). | Validity rolled +1 year (orig: 2026-03-26) per Assumption #12: annual-renewal WC facilities presumed operationally renewed. Confirm with relationship manager.</v>
      </c>
    </row>
    <row r="24" spans="2:10" ht="24" customHeight="1" x14ac:dyDescent="0.3">
      <c r="B24" s="99">
        <v>19</v>
      </c>
      <c r="C24" s="83" t="str">
        <f>'Facility Master'!C23</f>
        <v>YES Bank</v>
      </c>
      <c r="D24" s="84" t="str">
        <f>'Facility Master'!D23</f>
        <v>Financial BG / SBLC</v>
      </c>
      <c r="E24" s="87">
        <f>'Facility Master'!Z23</f>
        <v>46100</v>
      </c>
      <c r="F24" s="87" t="str">
        <f>'Facility Master'!AA23</f>
        <v>Per renewal cycle</v>
      </c>
      <c r="G24" s="87" t="str">
        <f>'Facility Master'!Y23</f>
        <v>-</v>
      </c>
      <c r="H24" s="113" t="str">
        <f t="shared" si="0"/>
        <v>-</v>
      </c>
      <c r="I24" s="40" t="str">
        <f t="shared" si="1"/>
        <v>-</v>
      </c>
      <c r="J24" s="84" t="str">
        <f>'Facility Master'!AE23</f>
        <v>Commission cut 25 bps on 19-Mar-2026.</v>
      </c>
    </row>
    <row r="25" spans="2:10" ht="24" customHeight="1" x14ac:dyDescent="0.3">
      <c r="B25" s="101">
        <v>20</v>
      </c>
      <c r="C25" s="83" t="str">
        <f>'Facility Master'!C24</f>
        <v>YES Bank</v>
      </c>
      <c r="D25" s="84" t="str">
        <f>'Facility Master'!D24</f>
        <v>Working Capital Demand Loan (WCDL)</v>
      </c>
      <c r="E25" s="87">
        <f>'Facility Master'!Z24</f>
        <v>46100</v>
      </c>
      <c r="F25" s="87" t="str">
        <f>'Facility Master'!AA24</f>
        <v>Per renewal cycle</v>
      </c>
      <c r="G25" s="87" t="str">
        <f>'Facility Master'!Y24</f>
        <v>-</v>
      </c>
      <c r="H25" s="114" t="str">
        <f t="shared" si="0"/>
        <v>-</v>
      </c>
      <c r="I25" s="55" t="str">
        <f t="shared" si="1"/>
        <v>-</v>
      </c>
      <c r="J25" s="84" t="str">
        <f>'Facility Master'!AE24</f>
        <v>Min utilisation covenant: 40% of YBL limits.</v>
      </c>
    </row>
    <row r="26" spans="2:10" ht="24" customHeight="1" x14ac:dyDescent="0.3">
      <c r="B26" s="99">
        <v>21</v>
      </c>
      <c r="C26" s="83" t="str">
        <f>'Facility Master'!C25</f>
        <v>YES Bank</v>
      </c>
      <c r="D26" s="84" t="str">
        <f>'Facility Master'!D25</f>
        <v>Term Loan (Refinance Canara)</v>
      </c>
      <c r="E26" s="87">
        <f>'Facility Master'!Z25</f>
        <v>45744</v>
      </c>
      <c r="F26" s="87">
        <f>'Facility Master'!AA25</f>
        <v>46253</v>
      </c>
      <c r="G26" s="87">
        <f>'Facility Master'!Y25</f>
        <v>49948</v>
      </c>
      <c r="H26" s="113">
        <f t="shared" si="0"/>
        <v>120</v>
      </c>
      <c r="I26" s="40" t="str">
        <f t="shared" si="1"/>
        <v>OK</v>
      </c>
      <c r="J26" s="84" t="str">
        <f>'Facility Master'!AE25</f>
        <v>Spread 2.45% -&gt; 2.52% on 28-Mar-2025. FF 0.45% of TL. | Maturity hardcoded to 30-Sep-2036 per sanction letter final-repayment clause (overrides EDATE(drawdown, 146m) calc which gives 16-Feb-2037). 47 quarterly instalments over 141 months from drawdown 16-Dec-2024 end on 30-Sep-2036. | Validity rolled +1 year (orig: 2025-08-19) per Assumption #12: annual-renewal WC facilities presumed operationally renewed. Confirm with relationship manager. | RepStart hardcoded to 31-Mar-2025 (first quarterly instalment per sanction-letter dates: 30-Jun/30-Sep/31-Dec/31-Mar). 47 quarterly instalments from 31-Mar-2025 end on 30-Sep-2036. | ⚠ ASSUMPTION: Modelled as 47 EQI of ₹6.82 Cr. Sanction letter (16-Dec-2024) specifies 'quarterly instalments' without explicitly stating 'equal'. Mentor's standalone model uses graduated/back-loaded schedule with face ₹306.59 Cr. Confirm with Paras Sir which schedule binding. If graduated, update Repayment Schedule rows 71-125.</v>
      </c>
    </row>
    <row r="27" spans="2:10" ht="24" customHeight="1" x14ac:dyDescent="0.3">
      <c r="B27" s="101">
        <v>22</v>
      </c>
      <c r="C27" s="83" t="str">
        <f>'Facility Master'!C26</f>
        <v>Bajaj Finance</v>
      </c>
      <c r="D27" s="84" t="str">
        <f>'Facility Master'!D26</f>
        <v>Term Loan</v>
      </c>
      <c r="E27" s="87">
        <f>'Facility Master'!Z26</f>
        <v>45887</v>
      </c>
      <c r="F27" s="87">
        <f>'Facility Master'!AA26</f>
        <v>46265</v>
      </c>
      <c r="G27" s="87">
        <f>'Facility Master'!Y26</f>
        <v>48809</v>
      </c>
      <c r="H27" s="114">
        <f t="shared" si="0"/>
        <v>132</v>
      </c>
      <c r="I27" s="55" t="str">
        <f t="shared" si="1"/>
        <v>OK</v>
      </c>
      <c r="J27" s="84" t="str">
        <f>'Facility Master'!AE26</f>
        <v>Floating; quarterly reset; WDV basis. No prepayment till 30-Sep-2026. | Validity rolled +1 year (orig: 2025-08-31) per Assumption #12: annual-renewal WC facilities presumed operationally renewed. Confirm with relationship manager.</v>
      </c>
    </row>
    <row r="28" spans="2:10" ht="24" customHeight="1" x14ac:dyDescent="0.3">
      <c r="B28" s="99">
        <v>23</v>
      </c>
      <c r="C28" s="83" t="str">
        <f>'Facility Master'!C27</f>
        <v>ICICI Bank</v>
      </c>
      <c r="D28" s="84" t="str">
        <f>'Facility Master'!D27</f>
        <v>Cash Credit</v>
      </c>
      <c r="E28" s="87">
        <f>'Facility Master'!Z27</f>
        <v>45916</v>
      </c>
      <c r="F28" s="87">
        <f>'Facility Master'!AA27</f>
        <v>46268</v>
      </c>
      <c r="G28" s="87" t="str">
        <f>'Facility Master'!Y27</f>
        <v>-</v>
      </c>
      <c r="H28" s="113">
        <f t="shared" si="0"/>
        <v>135</v>
      </c>
      <c r="I28" s="40" t="str">
        <f t="shared" si="1"/>
        <v>OK</v>
      </c>
      <c r="J28" s="84" t="str">
        <f>'Facility Master'!AE27</f>
        <v>Reset 6 monthly; one-way interchangeability CC-&gt;LC.</v>
      </c>
    </row>
    <row r="29" spans="2:10" ht="24" customHeight="1" x14ac:dyDescent="0.3">
      <c r="B29" s="101">
        <v>24</v>
      </c>
      <c r="C29" s="83" t="str">
        <f>'Facility Master'!C28</f>
        <v>ICICI Bank</v>
      </c>
      <c r="D29" s="84" t="str">
        <f>'Facility Master'!D28</f>
        <v>Working Capital Demand Loan (WCDL)</v>
      </c>
      <c r="E29" s="87">
        <f>'Facility Master'!Z28</f>
        <v>45972</v>
      </c>
      <c r="F29" s="87">
        <f>'Facility Master'!AA28</f>
        <v>46268</v>
      </c>
      <c r="G29" s="87" t="str">
        <f>'Facility Master'!Y28</f>
        <v>-</v>
      </c>
      <c r="H29" s="114">
        <f t="shared" si="0"/>
        <v>135</v>
      </c>
      <c r="I29" s="55" t="str">
        <f t="shared" si="1"/>
        <v>OK</v>
      </c>
      <c r="J29" s="84" t="str">
        <f>'Facility Master'!AE28</f>
        <v>Repo reset 15D/1M/3M by tenor. 0.50% prepayment premium. | ⚠ RATE INCOMPLETE: 5.25% reflects Repo only. Spread TBD at drawdown per sanction letter (16-Sep-2025). Market convention for WCDL above Repo: 50-100 bps spread. Update Q28 / column P28 when actual rate confirmed by ICICI RM.</v>
      </c>
    </row>
    <row r="30" spans="2:10" ht="24" customHeight="1" x14ac:dyDescent="0.3">
      <c r="B30" s="99">
        <v>25</v>
      </c>
      <c r="C30" s="83" t="str">
        <f>'Facility Master'!C29</f>
        <v>ICICI Bank</v>
      </c>
      <c r="D30" s="84" t="str">
        <f>'Facility Master'!D29</f>
        <v>Letter of Credit (Inland/Foreign)</v>
      </c>
      <c r="E30" s="87">
        <f>'Facility Master'!Z29</f>
        <v>45916</v>
      </c>
      <c r="F30" s="87">
        <f>'Facility Master'!AA29</f>
        <v>46268</v>
      </c>
      <c r="G30" s="87" t="str">
        <f>'Facility Master'!Y29</f>
        <v>-</v>
      </c>
      <c r="H30" s="113">
        <f t="shared" si="0"/>
        <v>135</v>
      </c>
      <c r="I30" s="40" t="str">
        <f t="shared" si="1"/>
        <v>OK</v>
      </c>
      <c r="J30" s="84" t="str">
        <f>'Facility Master'!AE29</f>
        <v>LC to JSL Global Commodities Pte Ltd capped at INR 25 Cr.</v>
      </c>
    </row>
    <row r="31" spans="2:10" ht="24" customHeight="1" x14ac:dyDescent="0.3">
      <c r="B31" s="101">
        <v>26</v>
      </c>
      <c r="C31" s="83" t="str">
        <f>'Facility Master'!C30</f>
        <v>ICICI Bank</v>
      </c>
      <c r="D31" s="84" t="str">
        <f>'Facility Master'!D30</f>
        <v>SBLC for Buyers' Credit</v>
      </c>
      <c r="E31" s="87">
        <f>'Facility Master'!Z30</f>
        <v>45916</v>
      </c>
      <c r="F31" s="87">
        <f>'Facility Master'!AA30</f>
        <v>46268</v>
      </c>
      <c r="G31" s="87" t="str">
        <f>'Facility Master'!Y30</f>
        <v>-</v>
      </c>
      <c r="H31" s="114">
        <f t="shared" si="0"/>
        <v>135</v>
      </c>
      <c r="I31" s="55" t="str">
        <f t="shared" si="1"/>
        <v>OK</v>
      </c>
      <c r="J31" s="84" t="str">
        <f>'Facility Master'!AE30</f>
        <v>Excluded from DP; no rollover beyond RBI guidelines.</v>
      </c>
    </row>
    <row r="32" spans="2:10" ht="24" customHeight="1" x14ac:dyDescent="0.3">
      <c r="B32" s="99">
        <v>27</v>
      </c>
      <c r="C32" s="83" t="str">
        <f>'Facility Master'!C31</f>
        <v>ICICI Bank</v>
      </c>
      <c r="D32" s="84" t="str">
        <f>'Facility Master'!D31</f>
        <v>Bank Guarantee - Performance</v>
      </c>
      <c r="E32" s="87">
        <f>'Facility Master'!Z31</f>
        <v>45916</v>
      </c>
      <c r="F32" s="87">
        <f>'Facility Master'!AA31</f>
        <v>46268</v>
      </c>
      <c r="G32" s="87" t="str">
        <f>'Facility Master'!Y31</f>
        <v>-</v>
      </c>
      <c r="H32" s="113">
        <f t="shared" si="0"/>
        <v>135</v>
      </c>
      <c r="I32" s="40" t="str">
        <f t="shared" si="1"/>
        <v>OK</v>
      </c>
      <c r="J32" s="84" t="str">
        <f>'Facility Master'!AE31</f>
        <v>SWIFT INR 1,000/BG; min commission INR 500/BG.</v>
      </c>
    </row>
    <row r="33" spans="2:10" ht="24" customHeight="1" x14ac:dyDescent="0.3">
      <c r="B33" s="101">
        <v>28</v>
      </c>
      <c r="C33" s="83" t="str">
        <f>'Facility Master'!C32</f>
        <v>ICICI Bank</v>
      </c>
      <c r="D33" s="84" t="str">
        <f>'Facility Master'!D32</f>
        <v>Bank Guarantee - Financial</v>
      </c>
      <c r="E33" s="87">
        <f>'Facility Master'!Z32</f>
        <v>45916</v>
      </c>
      <c r="F33" s="87">
        <f>'Facility Master'!AA32</f>
        <v>46268</v>
      </c>
      <c r="G33" s="87" t="str">
        <f>'Facility Master'!Y32</f>
        <v>-</v>
      </c>
      <c r="H33" s="114">
        <f t="shared" si="0"/>
        <v>135</v>
      </c>
      <c r="I33" s="55" t="str">
        <f t="shared" si="1"/>
        <v>OK</v>
      </c>
      <c r="J33" s="84" t="str">
        <f>'Facility Master'!AE32</f>
        <v>INR 50 mn per sanction letter.</v>
      </c>
    </row>
    <row r="34" spans="2:10" ht="24" customHeight="1" x14ac:dyDescent="0.3">
      <c r="B34" s="99">
        <v>29</v>
      </c>
      <c r="C34" s="83" t="str">
        <f>'Facility Master'!C33</f>
        <v>South Indian Bank</v>
      </c>
      <c r="D34" s="84" t="str">
        <f>'Facility Master'!D33</f>
        <v>CCOL (Cash Credit)</v>
      </c>
      <c r="E34" s="87">
        <f>'Facility Master'!Z33</f>
        <v>45829</v>
      </c>
      <c r="F34" s="87" t="str">
        <f>'Facility Master'!AA33</f>
        <v>Annual renewal</v>
      </c>
      <c r="G34" s="87" t="str">
        <f>'Facility Master'!Y33</f>
        <v>-</v>
      </c>
      <c r="H34" s="113" t="str">
        <f t="shared" si="0"/>
        <v>-</v>
      </c>
      <c r="I34" s="40" t="str">
        <f t="shared" si="1"/>
        <v>-</v>
      </c>
      <c r="J34" s="84" t="str">
        <f>'Facility Master'!AE33</f>
        <v>Annual reset.</v>
      </c>
    </row>
    <row r="35" spans="2:10" ht="24" customHeight="1" x14ac:dyDescent="0.3">
      <c r="B35" s="101">
        <v>30</v>
      </c>
      <c r="C35" s="83" t="str">
        <f>'Facility Master'!C34</f>
        <v>South Indian Bank</v>
      </c>
      <c r="D35" s="84" t="str">
        <f>'Facility Master'!D34</f>
        <v>WCL / WCDL</v>
      </c>
      <c r="E35" s="87">
        <f>'Facility Master'!Z34</f>
        <v>45829</v>
      </c>
      <c r="F35" s="87" t="str">
        <f>'Facility Master'!AA34</f>
        <v>Annual renewal</v>
      </c>
      <c r="G35" s="87" t="str">
        <f>'Facility Master'!Y34</f>
        <v>-</v>
      </c>
      <c r="H35" s="114" t="str">
        <f t="shared" si="0"/>
        <v>-</v>
      </c>
      <c r="I35" s="55" t="str">
        <f t="shared" si="1"/>
        <v>-</v>
      </c>
      <c r="J35" s="84" t="str">
        <f>'Facility Master'!AE34</f>
        <v>Rate at each availment; rollover subject to rating/compliance.</v>
      </c>
    </row>
    <row r="36" spans="2:10" ht="24" customHeight="1" x14ac:dyDescent="0.3">
      <c r="B36" s="99">
        <v>31</v>
      </c>
      <c r="C36" s="83" t="str">
        <f>'Facility Master'!C35</f>
        <v>South Indian Bank</v>
      </c>
      <c r="D36" s="84" t="str">
        <f>'Facility Master'!D35</f>
        <v>Inland / Import LC</v>
      </c>
      <c r="E36" s="87">
        <f>'Facility Master'!Z35</f>
        <v>45829</v>
      </c>
      <c r="F36" s="87" t="str">
        <f>'Facility Master'!AA35</f>
        <v>Annual renewal</v>
      </c>
      <c r="G36" s="87" t="str">
        <f>'Facility Master'!Y35</f>
        <v>-</v>
      </c>
      <c r="H36" s="113" t="str">
        <f t="shared" si="0"/>
        <v>-</v>
      </c>
      <c r="I36" s="40" t="str">
        <f t="shared" si="1"/>
        <v>-</v>
      </c>
      <c r="J36" s="84" t="str">
        <f>'Facility Master'!AE35</f>
        <v>Total LC + Capex LC &lt;= INR 150 Cr.</v>
      </c>
    </row>
    <row r="37" spans="2:10" ht="24" customHeight="1" x14ac:dyDescent="0.3">
      <c r="B37" s="101">
        <v>32</v>
      </c>
      <c r="C37" s="83" t="str">
        <f>'Facility Master'!C36</f>
        <v>South Indian Bank</v>
      </c>
      <c r="D37" s="84" t="str">
        <f>'Facility Master'!D36</f>
        <v>Capex LC</v>
      </c>
      <c r="E37" s="87">
        <f>'Facility Master'!Z36</f>
        <v>45829</v>
      </c>
      <c r="F37" s="87" t="str">
        <f>'Facility Master'!AA36</f>
        <v>Annual renewal</v>
      </c>
      <c r="G37" s="87" t="str">
        <f>'Facility Master'!Y36</f>
        <v>-</v>
      </c>
      <c r="H37" s="114" t="str">
        <f t="shared" si="0"/>
        <v>-</v>
      </c>
      <c r="I37" s="55" t="str">
        <f t="shared" si="1"/>
        <v>-</v>
      </c>
      <c r="J37" s="84" t="str">
        <f>'Facility Master'!AE36</f>
        <v>Combined with Inland/Import LC limit.</v>
      </c>
    </row>
    <row r="38" spans="2:10" ht="24" customHeight="1" x14ac:dyDescent="0.3">
      <c r="B38" s="99">
        <v>33</v>
      </c>
      <c r="C38" s="83" t="str">
        <f>'Facility Master'!C37</f>
        <v>South Indian Bank</v>
      </c>
      <c r="D38" s="84" t="str">
        <f>'Facility Master'!D37</f>
        <v>SBLC</v>
      </c>
      <c r="E38" s="87">
        <f>'Facility Master'!Z37</f>
        <v>45829</v>
      </c>
      <c r="F38" s="87" t="str">
        <f>'Facility Master'!AA37</f>
        <v>Annual renewal</v>
      </c>
      <c r="G38" s="87" t="str">
        <f>'Facility Master'!Y37</f>
        <v>-</v>
      </c>
      <c r="H38" s="113" t="str">
        <f t="shared" si="0"/>
        <v>-</v>
      </c>
      <c r="I38" s="40" t="str">
        <f t="shared" si="1"/>
        <v>-</v>
      </c>
      <c r="J38" s="84" t="str">
        <f>'Facility Master'!AE37</f>
        <v>No rollover. BC all-in-cost: Benchmark + 300 bps cap.</v>
      </c>
    </row>
    <row r="39" spans="2:10" ht="24" customHeight="1" x14ac:dyDescent="0.3">
      <c r="B39" s="101">
        <v>34</v>
      </c>
      <c r="C39" s="83" t="str">
        <f>'Facility Master'!C38</f>
        <v>South Indian Bank</v>
      </c>
      <c r="D39" s="84" t="str">
        <f>'Facility Master'!D38</f>
        <v>Forward Contract Limit</v>
      </c>
      <c r="E39" s="87">
        <f>'Facility Master'!Z38</f>
        <v>45829</v>
      </c>
      <c r="F39" s="87" t="str">
        <f>'Facility Master'!AA38</f>
        <v>Annual renewal</v>
      </c>
      <c r="G39" s="87" t="str">
        <f>'Facility Master'!Y38</f>
        <v>-</v>
      </c>
      <c r="H39" s="114" t="str">
        <f t="shared" si="0"/>
        <v>-</v>
      </c>
      <c r="I39" s="55" t="str">
        <f t="shared" si="1"/>
        <v>-</v>
      </c>
      <c r="J39" s="84" t="str">
        <f>'Facility Master'!AE38</f>
        <v>Notional limit; no cash outflow unless settled.</v>
      </c>
    </row>
    <row r="42" spans="2:10" ht="21.75" customHeight="1" x14ac:dyDescent="0.3">
      <c r="B42" s="312" t="s">
        <v>719</v>
      </c>
      <c r="C42" s="312"/>
      <c r="D42" s="312"/>
      <c r="E42" s="312"/>
      <c r="F42" s="312"/>
      <c r="G42" s="312"/>
      <c r="H42" s="312"/>
      <c r="I42" s="312"/>
      <c r="J42" s="312"/>
    </row>
    <row r="43" spans="2:10" ht="21.75" customHeight="1" x14ac:dyDescent="0.3">
      <c r="B43" s="316" t="s">
        <v>720</v>
      </c>
      <c r="C43" s="316"/>
      <c r="D43" s="316"/>
      <c r="E43" s="316"/>
      <c r="F43" s="316"/>
      <c r="G43" s="316"/>
      <c r="H43" s="321">
        <f>COUNTIF(I6:I39,"Expiring*")+COUNTIF(I6:I39,"Expired")</f>
        <v>1</v>
      </c>
      <c r="I43" s="321"/>
      <c r="J43" s="321"/>
    </row>
    <row r="44" spans="2:10" ht="21.75" customHeight="1" x14ac:dyDescent="0.3">
      <c r="B44" s="316" t="s">
        <v>721</v>
      </c>
      <c r="C44" s="316"/>
      <c r="D44" s="316"/>
      <c r="E44" s="316"/>
      <c r="F44" s="316"/>
      <c r="G44" s="316"/>
      <c r="H44" s="321">
        <f>COUNTIF(I6:I39,"Due Soon*")</f>
        <v>0</v>
      </c>
      <c r="I44" s="321"/>
      <c r="J44" s="321"/>
    </row>
    <row r="45" spans="2:10" ht="21.75" customHeight="1" x14ac:dyDescent="0.3">
      <c r="B45" s="316" t="s">
        <v>722</v>
      </c>
      <c r="C45" s="316"/>
      <c r="D45" s="316"/>
      <c r="E45" s="316"/>
      <c r="F45" s="316"/>
      <c r="G45" s="316"/>
      <c r="H45" s="321">
        <f>COUNTIF(I6:I39,"OK")</f>
        <v>24</v>
      </c>
      <c r="I45" s="321"/>
      <c r="J45" s="321"/>
    </row>
    <row r="46" spans="2:10" ht="21.75" customHeight="1" x14ac:dyDescent="0.3">
      <c r="B46" s="316" t="s">
        <v>723</v>
      </c>
      <c r="C46" s="316"/>
      <c r="D46" s="316"/>
      <c r="E46" s="316"/>
      <c r="F46" s="316"/>
      <c r="G46" s="316"/>
      <c r="H46" s="321">
        <f>COUNTIF(I6:I39,"-")</f>
        <v>9</v>
      </c>
      <c r="I46" s="321"/>
      <c r="J46" s="321"/>
    </row>
    <row r="48" spans="2:10" ht="21.75" customHeight="1" x14ac:dyDescent="0.3">
      <c r="B48" s="322" t="s">
        <v>724</v>
      </c>
      <c r="C48" s="322"/>
      <c r="D48" s="322"/>
      <c r="E48" s="322"/>
      <c r="F48" s="322"/>
      <c r="G48" s="322"/>
      <c r="H48" s="322"/>
      <c r="I48" s="322"/>
      <c r="J48" s="322"/>
    </row>
    <row r="49" spans="2:10" ht="84.75" customHeight="1" x14ac:dyDescent="0.3">
      <c r="B49" s="323" t="s">
        <v>725</v>
      </c>
      <c r="C49" s="323"/>
      <c r="D49" s="323"/>
      <c r="E49" s="323"/>
      <c r="F49" s="323"/>
      <c r="G49" s="323"/>
      <c r="H49" s="323"/>
      <c r="I49" s="323"/>
      <c r="J49" s="323"/>
    </row>
  </sheetData>
  <mergeCells count="13">
    <mergeCell ref="B48:J48"/>
    <mergeCell ref="B49:J49"/>
    <mergeCell ref="B44:G44"/>
    <mergeCell ref="H44:J44"/>
    <mergeCell ref="B45:G45"/>
    <mergeCell ref="H45:J45"/>
    <mergeCell ref="B46:G46"/>
    <mergeCell ref="H46:J46"/>
    <mergeCell ref="B2:J2"/>
    <mergeCell ref="B3:J3"/>
    <mergeCell ref="B42:J42"/>
    <mergeCell ref="B43:G43"/>
    <mergeCell ref="H43:J43"/>
  </mergeCells>
  <conditionalFormatting sqref="I6:I39">
    <cfRule type="expression" dxfId="12" priority="2">
      <formula>OR(I6="Expiring (&lt;=30D)",I6="Expired")</formula>
    </cfRule>
    <cfRule type="expression" dxfId="11" priority="3">
      <formula>I6="Due Soon (&lt;=60D)"</formula>
    </cfRule>
    <cfRule type="expression" dxfId="10" priority="4">
      <formula>I6="OK"</formula>
    </cfRule>
  </conditionalFormatting>
  <dataValidations count="1">
    <dataValidation type="list" allowBlank="1" sqref="G6:G40" xr:uid="{00000000-0002-0000-0E00-000000000000}">
      <formula1>"Upcoming,In-Progress,Completed,Overdue"</formula1>
      <formula2>0</formula2>
    </dataValidation>
  </dataValidation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B2:C113"/>
  <sheetViews>
    <sheetView showGridLines="0" topLeftCell="A111" zoomScaleNormal="100" workbookViewId="0">
      <selection activeCell="G111" sqref="G111"/>
    </sheetView>
  </sheetViews>
  <sheetFormatPr defaultColWidth="8.6640625" defaultRowHeight="14.4" x14ac:dyDescent="0.3"/>
  <cols>
    <col min="1" max="1" width="3" customWidth="1"/>
    <col min="2" max="2" width="28" customWidth="1"/>
    <col min="3" max="3" width="95" customWidth="1"/>
  </cols>
  <sheetData>
    <row r="2" spans="2:3" ht="36" customHeight="1" x14ac:dyDescent="0.3">
      <c r="B2" s="300" t="s">
        <v>931</v>
      </c>
      <c r="C2" s="300"/>
    </row>
    <row r="3" spans="2:3" ht="27.75" customHeight="1" x14ac:dyDescent="0.3">
      <c r="B3" s="311" t="s">
        <v>1159</v>
      </c>
      <c r="C3" s="311"/>
    </row>
    <row r="4" spans="2:3" x14ac:dyDescent="0.3">
      <c r="B4" s="336"/>
      <c r="C4" s="336"/>
    </row>
    <row r="5" spans="2:3" ht="27.75" customHeight="1" x14ac:dyDescent="0.3">
      <c r="B5" s="333" t="s">
        <v>932</v>
      </c>
      <c r="C5" s="333"/>
    </row>
    <row r="6" spans="2:3" ht="67.5" customHeight="1" x14ac:dyDescent="0.3">
      <c r="B6" s="32" t="s">
        <v>933</v>
      </c>
      <c r="C6" s="33" t="s">
        <v>934</v>
      </c>
    </row>
    <row r="7" spans="2:3" ht="36" customHeight="1" x14ac:dyDescent="0.3">
      <c r="B7" s="32" t="s">
        <v>935</v>
      </c>
      <c r="C7" s="33" t="s">
        <v>936</v>
      </c>
    </row>
    <row r="8" spans="2:3" ht="36" customHeight="1" x14ac:dyDescent="0.3">
      <c r="B8" s="32" t="s">
        <v>937</v>
      </c>
      <c r="C8" s="33" t="s">
        <v>938</v>
      </c>
    </row>
    <row r="9" spans="2:3" ht="36" customHeight="1" x14ac:dyDescent="0.3">
      <c r="B9" s="32" t="s">
        <v>939</v>
      </c>
      <c r="C9" s="33" t="s">
        <v>940</v>
      </c>
    </row>
    <row r="10" spans="2:3" ht="27.75" customHeight="1" x14ac:dyDescent="0.3">
      <c r="B10" s="333" t="s">
        <v>941</v>
      </c>
      <c r="C10" s="333"/>
    </row>
    <row r="11" spans="2:3" ht="36" customHeight="1" x14ac:dyDescent="0.3">
      <c r="B11" s="32" t="s">
        <v>942</v>
      </c>
      <c r="C11" s="33" t="s">
        <v>943</v>
      </c>
    </row>
    <row r="12" spans="2:3" ht="36" customHeight="1" x14ac:dyDescent="0.3">
      <c r="B12" s="32" t="s">
        <v>944</v>
      </c>
      <c r="C12" s="33" t="s">
        <v>945</v>
      </c>
    </row>
    <row r="13" spans="2:3" ht="36" customHeight="1" x14ac:dyDescent="0.3">
      <c r="B13" s="32" t="s">
        <v>199</v>
      </c>
      <c r="C13" s="33" t="s">
        <v>946</v>
      </c>
    </row>
    <row r="14" spans="2:3" ht="36" customHeight="1" x14ac:dyDescent="0.3">
      <c r="B14" s="32" t="s">
        <v>201</v>
      </c>
      <c r="C14" s="33" t="s">
        <v>947</v>
      </c>
    </row>
    <row r="15" spans="2:3" ht="36" customHeight="1" x14ac:dyDescent="0.3">
      <c r="B15" s="32" t="s">
        <v>948</v>
      </c>
      <c r="C15" s="33" t="s">
        <v>949</v>
      </c>
    </row>
    <row r="16" spans="2:3" ht="36" customHeight="1" x14ac:dyDescent="0.3">
      <c r="B16" s="32" t="s">
        <v>950</v>
      </c>
      <c r="C16" s="33" t="s">
        <v>951</v>
      </c>
    </row>
    <row r="17" spans="2:3" ht="21.75" customHeight="1" x14ac:dyDescent="0.3">
      <c r="B17" s="333" t="s">
        <v>952</v>
      </c>
      <c r="C17" s="333"/>
    </row>
    <row r="18" spans="2:3" ht="21.75" customHeight="1" x14ac:dyDescent="0.3">
      <c r="B18" s="334" t="s">
        <v>953</v>
      </c>
      <c r="C18" s="334"/>
    </row>
    <row r="19" spans="2:3" ht="36" customHeight="1" x14ac:dyDescent="0.3">
      <c r="B19" s="32" t="s">
        <v>954</v>
      </c>
      <c r="C19" s="33" t="s">
        <v>955</v>
      </c>
    </row>
    <row r="20" spans="2:3" ht="36" customHeight="1" x14ac:dyDescent="0.3">
      <c r="B20" s="32" t="s">
        <v>956</v>
      </c>
      <c r="C20" s="33" t="s">
        <v>957</v>
      </c>
    </row>
    <row r="21" spans="2:3" ht="21.75" customHeight="1" x14ac:dyDescent="0.3">
      <c r="B21" s="334" t="s">
        <v>958</v>
      </c>
      <c r="C21" s="334"/>
    </row>
    <row r="22" spans="2:3" ht="36" customHeight="1" x14ac:dyDescent="0.3">
      <c r="B22" s="32" t="s">
        <v>954</v>
      </c>
      <c r="C22" s="33" t="s">
        <v>959</v>
      </c>
    </row>
    <row r="23" spans="2:3" ht="120" customHeight="1" x14ac:dyDescent="0.3">
      <c r="B23" s="32" t="s">
        <v>960</v>
      </c>
      <c r="C23" s="33" t="s">
        <v>961</v>
      </c>
    </row>
    <row r="24" spans="2:3" ht="36" customHeight="1" x14ac:dyDescent="0.3">
      <c r="B24" s="32" t="s">
        <v>962</v>
      </c>
      <c r="C24" s="33" t="s">
        <v>963</v>
      </c>
    </row>
    <row r="25" spans="2:3" ht="51.75" customHeight="1" x14ac:dyDescent="0.3">
      <c r="B25" s="32" t="s">
        <v>964</v>
      </c>
      <c r="C25" s="33" t="s">
        <v>965</v>
      </c>
    </row>
    <row r="26" spans="2:3" ht="36" customHeight="1" x14ac:dyDescent="0.3">
      <c r="B26" s="32" t="s">
        <v>966</v>
      </c>
      <c r="C26" s="33" t="s">
        <v>967</v>
      </c>
    </row>
    <row r="27" spans="2:3" ht="36" customHeight="1" x14ac:dyDescent="0.3">
      <c r="B27" s="32" t="s">
        <v>968</v>
      </c>
      <c r="C27" s="33" t="s">
        <v>969</v>
      </c>
    </row>
    <row r="28" spans="2:3" ht="36" customHeight="1" x14ac:dyDescent="0.3">
      <c r="B28" s="32" t="s">
        <v>970</v>
      </c>
      <c r="C28" s="33" t="s">
        <v>971</v>
      </c>
    </row>
    <row r="29" spans="2:3" ht="21.75" customHeight="1" x14ac:dyDescent="0.3">
      <c r="B29" s="334" t="s">
        <v>972</v>
      </c>
      <c r="C29" s="334"/>
    </row>
    <row r="30" spans="2:3" ht="36" customHeight="1" x14ac:dyDescent="0.3">
      <c r="B30" s="32" t="s">
        <v>954</v>
      </c>
      <c r="C30" s="33" t="s">
        <v>973</v>
      </c>
    </row>
    <row r="31" spans="2:3" ht="150" customHeight="1" x14ac:dyDescent="0.3">
      <c r="B31" s="32" t="s">
        <v>974</v>
      </c>
      <c r="C31" s="33" t="s">
        <v>975</v>
      </c>
    </row>
    <row r="32" spans="2:3" ht="90" customHeight="1" x14ac:dyDescent="0.3">
      <c r="B32" s="32" t="s">
        <v>956</v>
      </c>
      <c r="C32" s="33" t="s">
        <v>976</v>
      </c>
    </row>
    <row r="33" spans="2:3" ht="36" customHeight="1" x14ac:dyDescent="0.3">
      <c r="B33" s="32" t="s">
        <v>977</v>
      </c>
      <c r="C33" s="33" t="s">
        <v>978</v>
      </c>
    </row>
    <row r="34" spans="2:3" ht="21.75" customHeight="1" x14ac:dyDescent="0.3">
      <c r="B34" s="334" t="s">
        <v>979</v>
      </c>
      <c r="C34" s="334"/>
    </row>
    <row r="35" spans="2:3" ht="36" customHeight="1" x14ac:dyDescent="0.3">
      <c r="B35" s="32" t="s">
        <v>954</v>
      </c>
      <c r="C35" s="33" t="s">
        <v>980</v>
      </c>
    </row>
    <row r="36" spans="2:3" ht="36" customHeight="1" x14ac:dyDescent="0.3">
      <c r="B36" s="32" t="s">
        <v>981</v>
      </c>
      <c r="C36" s="33" t="s">
        <v>982</v>
      </c>
    </row>
    <row r="37" spans="2:3" ht="21.75" customHeight="1" x14ac:dyDescent="0.3">
      <c r="B37" s="334" t="s">
        <v>983</v>
      </c>
      <c r="C37" s="334"/>
    </row>
    <row r="38" spans="2:3" ht="51.75" customHeight="1" x14ac:dyDescent="0.3">
      <c r="B38" s="32" t="s">
        <v>954</v>
      </c>
      <c r="C38" s="33" t="s">
        <v>984</v>
      </c>
    </row>
    <row r="39" spans="2:3" ht="21.75" customHeight="1" x14ac:dyDescent="0.3">
      <c r="B39" s="334" t="s">
        <v>985</v>
      </c>
      <c r="C39" s="334"/>
    </row>
    <row r="40" spans="2:3" ht="51.75" customHeight="1" x14ac:dyDescent="0.3">
      <c r="B40" s="32" t="s">
        <v>954</v>
      </c>
      <c r="C40" s="33" t="s">
        <v>986</v>
      </c>
    </row>
    <row r="41" spans="2:3" ht="36" customHeight="1" x14ac:dyDescent="0.3">
      <c r="B41" s="32" t="s">
        <v>987</v>
      </c>
      <c r="C41" s="33" t="s">
        <v>988</v>
      </c>
    </row>
    <row r="42" spans="2:3" ht="21.75" customHeight="1" x14ac:dyDescent="0.3">
      <c r="B42" s="334" t="s">
        <v>989</v>
      </c>
      <c r="C42" s="334"/>
    </row>
    <row r="43" spans="2:3" ht="36" customHeight="1" x14ac:dyDescent="0.3">
      <c r="B43" s="32" t="s">
        <v>954</v>
      </c>
      <c r="C43" s="33" t="s">
        <v>990</v>
      </c>
    </row>
    <row r="44" spans="2:3" ht="36" customHeight="1" x14ac:dyDescent="0.3">
      <c r="B44" s="32" t="s">
        <v>991</v>
      </c>
      <c r="C44" s="33" t="s">
        <v>992</v>
      </c>
    </row>
    <row r="45" spans="2:3" ht="21.75" customHeight="1" x14ac:dyDescent="0.3">
      <c r="B45" s="334" t="s">
        <v>993</v>
      </c>
      <c r="C45" s="334"/>
    </row>
    <row r="46" spans="2:3" ht="51.75" customHeight="1" x14ac:dyDescent="0.3">
      <c r="B46" s="32" t="s">
        <v>954</v>
      </c>
      <c r="C46" s="33" t="s">
        <v>994</v>
      </c>
    </row>
    <row r="47" spans="2:3" ht="36" customHeight="1" x14ac:dyDescent="0.3">
      <c r="B47" s="32" t="s">
        <v>995</v>
      </c>
      <c r="C47" s="33" t="s">
        <v>996</v>
      </c>
    </row>
    <row r="48" spans="2:3" ht="79.5" customHeight="1" x14ac:dyDescent="0.3">
      <c r="B48" s="32" t="s">
        <v>997</v>
      </c>
      <c r="C48" s="33" t="s">
        <v>998</v>
      </c>
    </row>
    <row r="49" spans="2:3" ht="36" customHeight="1" x14ac:dyDescent="0.3">
      <c r="B49" s="32" t="s">
        <v>999</v>
      </c>
      <c r="C49" s="33" t="s">
        <v>1000</v>
      </c>
    </row>
    <row r="50" spans="2:3" ht="21.75" customHeight="1" x14ac:dyDescent="0.3">
      <c r="B50" s="334" t="s">
        <v>1001</v>
      </c>
      <c r="C50" s="334"/>
    </row>
    <row r="51" spans="2:3" ht="36" customHeight="1" x14ac:dyDescent="0.3">
      <c r="B51" s="32" t="s">
        <v>954</v>
      </c>
      <c r="C51" s="33" t="s">
        <v>1002</v>
      </c>
    </row>
    <row r="52" spans="2:3" ht="36" customHeight="1" x14ac:dyDescent="0.3">
      <c r="B52" s="32" t="s">
        <v>1003</v>
      </c>
      <c r="C52" s="33" t="s">
        <v>1004</v>
      </c>
    </row>
    <row r="53" spans="2:3" ht="21.75" customHeight="1" x14ac:dyDescent="0.3">
      <c r="B53" s="334" t="s">
        <v>1005</v>
      </c>
      <c r="C53" s="334"/>
    </row>
    <row r="54" spans="2:3" ht="36" customHeight="1" x14ac:dyDescent="0.3">
      <c r="B54" s="32" t="s">
        <v>954</v>
      </c>
      <c r="C54" s="33" t="s">
        <v>1006</v>
      </c>
    </row>
    <row r="55" spans="2:3" ht="99.75" customHeight="1" x14ac:dyDescent="0.3">
      <c r="B55" s="32" t="s">
        <v>1007</v>
      </c>
      <c r="C55" s="33" t="s">
        <v>1008</v>
      </c>
    </row>
    <row r="56" spans="2:3" ht="36" customHeight="1" x14ac:dyDescent="0.3">
      <c r="B56" s="32" t="s">
        <v>956</v>
      </c>
      <c r="C56" s="33" t="s">
        <v>1009</v>
      </c>
    </row>
    <row r="57" spans="2:3" ht="21.75" customHeight="1" x14ac:dyDescent="0.3">
      <c r="B57" s="334" t="s">
        <v>1010</v>
      </c>
      <c r="C57" s="334"/>
    </row>
    <row r="58" spans="2:3" ht="51.75" customHeight="1" x14ac:dyDescent="0.3">
      <c r="B58" s="32" t="s">
        <v>954</v>
      </c>
      <c r="C58" s="33" t="s">
        <v>1011</v>
      </c>
    </row>
    <row r="59" spans="2:3" ht="36" customHeight="1" x14ac:dyDescent="0.3">
      <c r="B59" s="335" t="s">
        <v>693</v>
      </c>
      <c r="C59" s="335" t="s">
        <v>1012</v>
      </c>
    </row>
    <row r="60" spans="2:3" ht="21.75" customHeight="1" x14ac:dyDescent="0.3">
      <c r="B60" s="334" t="s">
        <v>1013</v>
      </c>
      <c r="C60" s="334"/>
    </row>
    <row r="61" spans="2:3" ht="36" customHeight="1" x14ac:dyDescent="0.3">
      <c r="B61" s="32" t="s">
        <v>954</v>
      </c>
      <c r="C61" s="33" t="s">
        <v>1014</v>
      </c>
    </row>
    <row r="62" spans="2:3" ht="36" customHeight="1" x14ac:dyDescent="0.3">
      <c r="B62" s="32" t="s">
        <v>977</v>
      </c>
      <c r="C62" s="33" t="s">
        <v>1015</v>
      </c>
    </row>
    <row r="63" spans="2:3" ht="21.75" customHeight="1" x14ac:dyDescent="0.3">
      <c r="B63" s="334" t="s">
        <v>1016</v>
      </c>
      <c r="C63" s="334"/>
    </row>
    <row r="64" spans="2:3" ht="36" customHeight="1" x14ac:dyDescent="0.3">
      <c r="B64" s="32" t="s">
        <v>954</v>
      </c>
      <c r="C64" s="33" t="s">
        <v>1017</v>
      </c>
    </row>
    <row r="65" spans="2:3" ht="36" customHeight="1" x14ac:dyDescent="0.3">
      <c r="B65" s="32" t="s">
        <v>1018</v>
      </c>
      <c r="C65" s="33" t="s">
        <v>1019</v>
      </c>
    </row>
    <row r="66" spans="2:3" ht="21.75" customHeight="1" x14ac:dyDescent="0.3">
      <c r="B66" s="334" t="s">
        <v>1020</v>
      </c>
      <c r="C66" s="334"/>
    </row>
    <row r="67" spans="2:3" ht="36" customHeight="1" x14ac:dyDescent="0.3">
      <c r="B67" s="32" t="s">
        <v>954</v>
      </c>
      <c r="C67" s="33" t="s">
        <v>1021</v>
      </c>
    </row>
    <row r="68" spans="2:3" ht="36" customHeight="1" x14ac:dyDescent="0.3">
      <c r="B68" s="32" t="s">
        <v>1022</v>
      </c>
      <c r="C68" s="33" t="s">
        <v>1023</v>
      </c>
    </row>
    <row r="69" spans="2:3" ht="36" customHeight="1" x14ac:dyDescent="0.3">
      <c r="B69" s="32" t="s">
        <v>1024</v>
      </c>
      <c r="C69" s="33" t="s">
        <v>1025</v>
      </c>
    </row>
    <row r="70" spans="2:3" ht="21.75" customHeight="1" x14ac:dyDescent="0.3">
      <c r="B70" s="334" t="s">
        <v>1026</v>
      </c>
      <c r="C70" s="334"/>
    </row>
    <row r="71" spans="2:3" ht="36" customHeight="1" x14ac:dyDescent="0.3">
      <c r="B71" s="32" t="s">
        <v>954</v>
      </c>
      <c r="C71" s="33" t="s">
        <v>1027</v>
      </c>
    </row>
    <row r="72" spans="2:3" ht="36" customHeight="1" x14ac:dyDescent="0.3">
      <c r="B72" s="32" t="s">
        <v>1028</v>
      </c>
      <c r="C72" s="33" t="s">
        <v>1029</v>
      </c>
    </row>
    <row r="73" spans="2:3" ht="21.75" customHeight="1" x14ac:dyDescent="0.3">
      <c r="B73" s="334" t="s">
        <v>1030</v>
      </c>
      <c r="C73" s="334"/>
    </row>
    <row r="74" spans="2:3" ht="51.75" customHeight="1" x14ac:dyDescent="0.3">
      <c r="B74" s="32" t="s">
        <v>954</v>
      </c>
      <c r="C74" s="33" t="s">
        <v>1031</v>
      </c>
    </row>
    <row r="75" spans="2:3" ht="36" customHeight="1" x14ac:dyDescent="0.3">
      <c r="B75" s="32" t="s">
        <v>1032</v>
      </c>
      <c r="C75" s="33" t="s">
        <v>1033</v>
      </c>
    </row>
    <row r="76" spans="2:3" ht="21.75" customHeight="1" x14ac:dyDescent="0.3">
      <c r="B76" s="334" t="s">
        <v>1034</v>
      </c>
      <c r="C76" s="334"/>
    </row>
    <row r="77" spans="2:3" ht="36" customHeight="1" x14ac:dyDescent="0.3">
      <c r="B77" s="32" t="s">
        <v>954</v>
      </c>
      <c r="C77" s="33" t="s">
        <v>1035</v>
      </c>
    </row>
    <row r="78" spans="2:3" ht="21.75" customHeight="1" x14ac:dyDescent="0.3">
      <c r="B78" s="333" t="s">
        <v>1036</v>
      </c>
      <c r="C78" s="333"/>
    </row>
    <row r="79" spans="2:3" ht="36" customHeight="1" x14ac:dyDescent="0.3">
      <c r="B79" s="32" t="s">
        <v>1037</v>
      </c>
      <c r="C79" s="33" t="s">
        <v>1038</v>
      </c>
    </row>
    <row r="80" spans="2:3" ht="120" customHeight="1" x14ac:dyDescent="0.3">
      <c r="B80" s="32" t="s">
        <v>1039</v>
      </c>
      <c r="C80" s="33" t="s">
        <v>1040</v>
      </c>
    </row>
    <row r="81" spans="2:3" ht="36" customHeight="1" x14ac:dyDescent="0.3">
      <c r="B81" s="32" t="s">
        <v>1041</v>
      </c>
      <c r="C81" s="33" t="s">
        <v>1042</v>
      </c>
    </row>
    <row r="82" spans="2:3" ht="36" customHeight="1" x14ac:dyDescent="0.3">
      <c r="B82" s="32" t="s">
        <v>1043</v>
      </c>
      <c r="C82" s="33" t="s">
        <v>1044</v>
      </c>
    </row>
    <row r="83" spans="2:3" ht="36" customHeight="1" x14ac:dyDescent="0.3">
      <c r="B83" s="32" t="s">
        <v>1045</v>
      </c>
      <c r="C83" s="33" t="s">
        <v>1046</v>
      </c>
    </row>
    <row r="84" spans="2:3" ht="21.75" customHeight="1" x14ac:dyDescent="0.3">
      <c r="B84" s="333" t="s">
        <v>1047</v>
      </c>
      <c r="C84" s="333"/>
    </row>
    <row r="85" spans="2:3" ht="36" customHeight="1" x14ac:dyDescent="0.3">
      <c r="B85" s="32" t="s">
        <v>1048</v>
      </c>
      <c r="C85" s="33" t="s">
        <v>1049</v>
      </c>
    </row>
    <row r="86" spans="2:3" ht="36" customHeight="1" x14ac:dyDescent="0.3">
      <c r="B86" s="32" t="s">
        <v>1050</v>
      </c>
      <c r="C86" s="33" t="s">
        <v>1051</v>
      </c>
    </row>
    <row r="87" spans="2:3" ht="36" customHeight="1" x14ac:dyDescent="0.3">
      <c r="B87" s="32" t="s">
        <v>1052</v>
      </c>
      <c r="C87" s="33" t="s">
        <v>1053</v>
      </c>
    </row>
    <row r="88" spans="2:3" ht="36" customHeight="1" x14ac:dyDescent="0.3">
      <c r="B88" s="32" t="s">
        <v>1054</v>
      </c>
      <c r="C88" s="33" t="s">
        <v>1055</v>
      </c>
    </row>
    <row r="89" spans="2:3" ht="36" customHeight="1" x14ac:dyDescent="0.3">
      <c r="B89" s="32" t="s">
        <v>1056</v>
      </c>
      <c r="C89" s="33" t="s">
        <v>1057</v>
      </c>
    </row>
    <row r="90" spans="2:3" ht="36" customHeight="1" x14ac:dyDescent="0.3">
      <c r="B90" s="32" t="s">
        <v>1058</v>
      </c>
      <c r="C90" s="33" t="s">
        <v>1059</v>
      </c>
    </row>
    <row r="91" spans="2:3" ht="21.75" customHeight="1" x14ac:dyDescent="0.3">
      <c r="B91" s="333" t="s">
        <v>1060</v>
      </c>
      <c r="C91" s="333"/>
    </row>
    <row r="92" spans="2:3" ht="36" customHeight="1" x14ac:dyDescent="0.3">
      <c r="B92" s="32" t="s">
        <v>279</v>
      </c>
      <c r="C92" s="33" t="s">
        <v>1061</v>
      </c>
    </row>
    <row r="93" spans="2:3" ht="36" customHeight="1" x14ac:dyDescent="0.3">
      <c r="B93" s="32" t="s">
        <v>262</v>
      </c>
      <c r="C93" s="33" t="s">
        <v>1062</v>
      </c>
    </row>
    <row r="94" spans="2:3" ht="36" customHeight="1" x14ac:dyDescent="0.3">
      <c r="B94" s="32" t="s">
        <v>1063</v>
      </c>
      <c r="C94" s="33" t="s">
        <v>1064</v>
      </c>
    </row>
    <row r="95" spans="2:3" ht="36" customHeight="1" x14ac:dyDescent="0.3">
      <c r="B95" s="32" t="s">
        <v>1065</v>
      </c>
      <c r="C95" s="33" t="s">
        <v>1066</v>
      </c>
    </row>
    <row r="96" spans="2:3" ht="36" customHeight="1" x14ac:dyDescent="0.3">
      <c r="B96" s="32" t="s">
        <v>1067</v>
      </c>
      <c r="C96" s="33" t="s">
        <v>1068</v>
      </c>
    </row>
    <row r="97" spans="2:3" ht="36" customHeight="1" x14ac:dyDescent="0.3">
      <c r="B97" s="32" t="s">
        <v>1069</v>
      </c>
      <c r="C97" s="33" t="s">
        <v>1070</v>
      </c>
    </row>
    <row r="98" spans="2:3" ht="36" customHeight="1" x14ac:dyDescent="0.3">
      <c r="B98" s="32" t="s">
        <v>1071</v>
      </c>
      <c r="C98" s="33" t="s">
        <v>1072</v>
      </c>
    </row>
    <row r="99" spans="2:3" ht="36" customHeight="1" x14ac:dyDescent="0.3">
      <c r="B99" s="32" t="s">
        <v>1073</v>
      </c>
      <c r="C99" s="33" t="s">
        <v>1074</v>
      </c>
    </row>
    <row r="100" spans="2:3" ht="36" customHeight="1" x14ac:dyDescent="0.3">
      <c r="B100" s="32" t="s">
        <v>1075</v>
      </c>
      <c r="C100" s="33" t="s">
        <v>1076</v>
      </c>
    </row>
    <row r="101" spans="2:3" ht="36" customHeight="1" x14ac:dyDescent="0.3">
      <c r="B101" s="32" t="s">
        <v>1077</v>
      </c>
      <c r="C101" s="33" t="s">
        <v>1078</v>
      </c>
    </row>
    <row r="102" spans="2:3" ht="36" customHeight="1" x14ac:dyDescent="0.3">
      <c r="B102" s="32" t="s">
        <v>1079</v>
      </c>
      <c r="C102" s="33" t="s">
        <v>1080</v>
      </c>
    </row>
    <row r="103" spans="2:3" ht="36" customHeight="1" x14ac:dyDescent="0.3">
      <c r="B103" s="32" t="s">
        <v>769</v>
      </c>
      <c r="C103" s="33" t="s">
        <v>1081</v>
      </c>
    </row>
    <row r="104" spans="2:3" ht="36" customHeight="1" x14ac:dyDescent="0.3">
      <c r="B104" s="32" t="s">
        <v>382</v>
      </c>
      <c r="C104" s="33" t="s">
        <v>1082</v>
      </c>
    </row>
    <row r="105" spans="2:3" ht="36" customHeight="1" x14ac:dyDescent="0.3">
      <c r="B105" s="32" t="s">
        <v>1083</v>
      </c>
      <c r="C105" s="33" t="s">
        <v>1084</v>
      </c>
    </row>
    <row r="106" spans="2:3" ht="36" customHeight="1" x14ac:dyDescent="0.3">
      <c r="B106" s="32" t="s">
        <v>607</v>
      </c>
      <c r="C106" s="33" t="s">
        <v>1085</v>
      </c>
    </row>
    <row r="107" spans="2:3" ht="36" customHeight="1" x14ac:dyDescent="0.3">
      <c r="B107" s="32" t="s">
        <v>639</v>
      </c>
      <c r="C107" s="33" t="s">
        <v>1086</v>
      </c>
    </row>
    <row r="108" spans="2:3" ht="36" customHeight="1" x14ac:dyDescent="0.3">
      <c r="B108" s="32" t="s">
        <v>631</v>
      </c>
      <c r="C108" s="33" t="s">
        <v>1087</v>
      </c>
    </row>
    <row r="109" spans="2:3" ht="36" customHeight="1" x14ac:dyDescent="0.3">
      <c r="B109" s="32" t="s">
        <v>616</v>
      </c>
      <c r="C109" s="33" t="s">
        <v>1088</v>
      </c>
    </row>
    <row r="110" spans="2:3" ht="36" customHeight="1" x14ac:dyDescent="0.3">
      <c r="B110" s="32" t="s">
        <v>1089</v>
      </c>
      <c r="C110" s="33" t="s">
        <v>1090</v>
      </c>
    </row>
    <row r="111" spans="2:3" ht="36" customHeight="1" x14ac:dyDescent="0.3">
      <c r="B111" s="32" t="s">
        <v>1091</v>
      </c>
      <c r="C111" s="33" t="s">
        <v>1092</v>
      </c>
    </row>
    <row r="112" spans="2:3" ht="21.75" customHeight="1" x14ac:dyDescent="0.3">
      <c r="B112" s="333" t="s">
        <v>1093</v>
      </c>
      <c r="C112" s="333"/>
    </row>
    <row r="113" spans="2:3" ht="36" customHeight="1" x14ac:dyDescent="0.3">
      <c r="B113" s="32" t="s">
        <v>1094</v>
      </c>
      <c r="C113" s="33" t="s">
        <v>1095</v>
      </c>
    </row>
  </sheetData>
  <mergeCells count="26">
    <mergeCell ref="B112:C112"/>
    <mergeCell ref="B73:C73"/>
    <mergeCell ref="B76:C76"/>
    <mergeCell ref="B78:C78"/>
    <mergeCell ref="B84:C84"/>
    <mergeCell ref="B91:C91"/>
    <mergeCell ref="B57:C57"/>
    <mergeCell ref="B60:C60"/>
    <mergeCell ref="B63:C63"/>
    <mergeCell ref="B66:C66"/>
    <mergeCell ref="B70:C70"/>
    <mergeCell ref="B39:C39"/>
    <mergeCell ref="B42:C42"/>
    <mergeCell ref="B45:C45"/>
    <mergeCell ref="B50:C50"/>
    <mergeCell ref="B53:C53"/>
    <mergeCell ref="B18:C18"/>
    <mergeCell ref="B21:C21"/>
    <mergeCell ref="B29:C29"/>
    <mergeCell ref="B34:C34"/>
    <mergeCell ref="B37:C37"/>
    <mergeCell ref="B2:C2"/>
    <mergeCell ref="B3:C3"/>
    <mergeCell ref="B5:C5"/>
    <mergeCell ref="B10:C10"/>
    <mergeCell ref="B17:C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42</vt:i4>
      </vt:variant>
    </vt:vector>
  </HeadingPairs>
  <TitlesOfParts>
    <vt:vector size="60" baseType="lpstr">
      <vt:lpstr>Cover Page</vt:lpstr>
      <vt:lpstr>Data Validation &amp; Checks</vt:lpstr>
      <vt:lpstr>Dashboard</vt:lpstr>
      <vt:lpstr>Scenario Analysis</vt:lpstr>
      <vt:lpstr>Instructions &amp; Assumptions</vt:lpstr>
      <vt:lpstr>Debt Pricing Table</vt:lpstr>
      <vt:lpstr>Facility Master</vt:lpstr>
      <vt:lpstr>Lender Summary</vt:lpstr>
      <vt:lpstr>Working Capital Facilities</vt:lpstr>
      <vt:lpstr>Term Loans</vt:lpstr>
      <vt:lpstr>Non-Fund Based Facilities</vt:lpstr>
      <vt:lpstr>Repayment Schedule</vt:lpstr>
      <vt:lpstr>Interest Schedule</vt:lpstr>
      <vt:lpstr>Covenant Tracker</vt:lpstr>
      <vt:lpstr>Security &amp; Charge Matrix</vt:lpstr>
      <vt:lpstr>Utilization Tracker</vt:lpstr>
      <vt:lpstr>Renewal &amp; Review Calendar</vt:lpstr>
      <vt:lpstr>Notes</vt:lpstr>
      <vt:lpstr>AsOfDate</vt:lpstr>
      <vt:lpstr>BMK_12M_MCLR_SIB</vt:lpstr>
      <vt:lpstr>BMK_1Y_MCLR_RBL</vt:lpstr>
      <vt:lpstr>BMK_3M_MCLR_YBL</vt:lpstr>
      <vt:lpstr>BMK_3M_TBILL</vt:lpstr>
      <vt:lpstr>BMK_6M_IMCLR_ICICI</vt:lpstr>
      <vt:lpstr>BMK_BFRR</vt:lpstr>
      <vt:lpstr>BMK_FD_RATE</vt:lpstr>
      <vt:lpstr>BMK_REPO</vt:lpstr>
      <vt:lpstr>BMK_TERM_SOFR</vt:lpstr>
      <vt:lpstr>CONS_DATES</vt:lpstr>
      <vt:lpstr>CONS_DS</vt:lpstr>
      <vt:lpstr>CONS_INTEREST</vt:lpstr>
      <vt:lpstr>CONS_PRINCIPAL</vt:lpstr>
      <vt:lpstr>CONS_SCHEDULE_START_ROW</vt:lpstr>
      <vt:lpstr>DaysInYear</vt:lpstr>
      <vt:lpstr>FIN_ATNW</vt:lpstr>
      <vt:lpstr>FIN_CA</vt:lpstr>
      <vt:lpstr>FIN_CL</vt:lpstr>
      <vt:lpstr>FIN_EBITDA</vt:lpstr>
      <vt:lpstr>FIN_FA_NET</vt:lpstr>
      <vt:lpstr>FIN_INT_EXP</vt:lpstr>
      <vt:lpstr>FIN_PRINC_REP</vt:lpstr>
      <vt:lpstr>FIN_PROM_SHARE</vt:lpstr>
      <vt:lpstr>FIN_RATING</vt:lpstr>
      <vt:lpstr>FIN_SCHED_REPAY</vt:lpstr>
      <vt:lpstr>FIN_SEC_DEBT</vt:lpstr>
      <vt:lpstr>FIN_TAX_PAID</vt:lpstr>
      <vt:lpstr>FIN_TERM_DEBT</vt:lpstr>
      <vt:lpstr>FIN_TNW</vt:lpstr>
      <vt:lpstr>FIN_TOL</vt:lpstr>
      <vt:lpstr>FIN_TOTAL_DEBT</vt:lpstr>
      <vt:lpstr>FinancialBasis</vt:lpstr>
      <vt:lpstr>FX_USD_INR</vt:lpstr>
      <vt:lpstr>LenderFilter</vt:lpstr>
      <vt:lpstr>TL_21_PRINC_OUTSTD</vt:lpstr>
      <vt:lpstr>TL_21_PRINC_REPAID_TO_DATE</vt:lpstr>
      <vt:lpstr>TL_22_PRINC_OUTSTD</vt:lpstr>
      <vt:lpstr>TL_22_PRINC_REPAID_TO_DATE</vt:lpstr>
      <vt:lpstr>TL_9_PRINC_OUTSTD</vt:lpstr>
      <vt:lpstr>TL_9_PRINC_REPAID_TO_DATE</vt:lpstr>
      <vt:lpstr>UseFullUtilisation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Divyanshu  Vatsa</cp:lastModifiedBy>
  <cp:revision>5</cp:revision>
  <dcterms:created xsi:type="dcterms:W3CDTF">2026-04-21T06:05:44Z</dcterms:created>
  <dcterms:modified xsi:type="dcterms:W3CDTF">2026-04-29T06:24:42Z</dcterms:modified>
  <dc:language>en-US</dc:language>
</cp:coreProperties>
</file>